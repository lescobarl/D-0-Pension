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DD97A8EA-9A9A-E61F-A557-7D5A7D7259CE}"/>
  <workbookPr codeName="ThisWorkbook"/>
  <mc:AlternateContent xmlns:mc="http://schemas.openxmlformats.org/markup-compatibility/2006">
    <mc:Choice Requires="x15">
      <x15ac:absPath xmlns:x15ac="http://schemas.microsoft.com/office/spreadsheetml/2010/11/ac" url="D:\D-Proyectos\D-0-Pension\"/>
    </mc:Choice>
  </mc:AlternateContent>
  <xr:revisionPtr revIDLastSave="0" documentId="13_ncr:1_{C8FAC2F9-F5DE-4B0F-85B6-AE0C762136D9}" xr6:coauthVersionLast="47" xr6:coauthVersionMax="47" xr10:uidLastSave="{00000000-0000-0000-0000-000000000000}"/>
  <workbookProtection workbookAlgorithmName="SHA-512" workbookHashValue="jRjfUMJT0gOF5ikJjZhhHe1aPkeoArrZfjX6j3gaojLXt3g4fa6kiaDfwvX/5Qt+hPKxgUWWrNrtE3CiQ3Tn4g==" workbookSaltValue="nT5COmj4dAvy0S8p6WtVeA==" workbookSpinCount="100000" lockStructure="1"/>
  <bookViews>
    <workbookView xWindow="22932" yWindow="-108" windowWidth="23256" windowHeight="12456" tabRatio="699" firstSheet="5" activeTab="8" xr2:uid="{00000000-000D-0000-FFFF-FFFF00000000}"/>
  </bookViews>
  <sheets>
    <sheet name="README" sheetId="63" r:id="rId1"/>
    <sheet name="CARATULA" sheetId="61" state="hidden" r:id="rId2"/>
    <sheet name="CAL. PROM. 250 SEM" sheetId="19" r:id="rId3"/>
    <sheet name="1" sheetId="3" state="hidden" r:id="rId4"/>
    <sheet name="DATOS GEN." sheetId="21" r:id="rId5"/>
    <sheet name="FACT. + ASIG." sheetId="9" r:id="rId6"/>
    <sheet name="PENSIÓN ACTUAL" sheetId="23" r:id="rId7"/>
    <sheet name="SAL. PROM MOD 40" sheetId="27" r:id="rId8"/>
    <sheet name="DATOS GEN. MOD 40" sheetId="29" r:id="rId9"/>
    <sheet name="FACT. + ASIG. MOD.40" sheetId="30" r:id="rId10"/>
    <sheet name="PENSION MOD. 40" sheetId="28" r:id="rId11"/>
    <sheet name="COSTO MOD. 40" sheetId="50" r:id="rId12"/>
    <sheet name="INVERSION" sheetId="31" r:id="rId13"/>
    <sheet name="INCREMENTO PEN" sheetId="62" state="hidden" r:id="rId14"/>
    <sheet name="PAGO RETROACTIVO" sheetId="34" r:id="rId15"/>
    <sheet name="MOD 40 REC. VS RETRO." sheetId="35" state="hidden" r:id="rId16"/>
    <sheet name="FINANCIAMIENTO" sheetId="36" r:id="rId17"/>
    <sheet name="SEGUNDO FONDEADOR" sheetId="38" state="hidden" r:id="rId18"/>
    <sheet name="PENSIÓN SIN-CON FIN." sheetId="37" state="hidden" r:id="rId19"/>
    <sheet name="Datos-proyecto" sheetId="40" state="hidden" r:id="rId20"/>
    <sheet name="2" sheetId="33" state="hidden" r:id="rId21"/>
    <sheet name="PROYECTO DE PENSIÓN" sheetId="39" state="hidden" r:id="rId22"/>
    <sheet name="Sheet1" sheetId="32" state="hidden" r:id="rId23"/>
  </sheets>
  <externalReferences>
    <externalReference r:id="rId24"/>
  </externalReferences>
  <definedNames>
    <definedName name="_xleta.IF" hidden="1" xlm="1">#NAME?</definedName>
    <definedName name="_xleta.INDEX" hidden="1" xlm="1">#NAME?</definedName>
    <definedName name="_xleta.MOD" hidden="1" xlm="1">#NAME?</definedName>
    <definedName name="_xlpm.diasCalculados" hidden="1" xlm="1">#NAME?</definedName>
    <definedName name="_xlpm.díasCalculados" hidden="1" xlm="1">#NAME?</definedName>
    <definedName name="_xlpm.diasDescontados" hidden="1" xlm="1">#NAME?</definedName>
    <definedName name="_xlpm.díasDescontados" hidden="1" xlm="1">#NAME?</definedName>
    <definedName name="_xlpm.diasDif" hidden="1" xlm="1">#NAME?</definedName>
    <definedName name="_xlpm.diasFinales" hidden="1" xlm="1">#NAME?</definedName>
    <definedName name="_xlpm.diasReales" hidden="1" xlm="1">#NAME?</definedName>
    <definedName name="_xlpm.dif" hidden="1" xlm="1">#NAME?</definedName>
    <definedName name="_xlpm.diferencia" hidden="1" xlm="1">#NAME?</definedName>
    <definedName name="_xlpm.esc" hidden="1" xlm="1">#NAME?</definedName>
    <definedName name="_xlpm.fechaFin" hidden="1" xlm="1">#NAME?</definedName>
    <definedName name="_xlpm.fechaFin2022" hidden="1" xlm="1">#NAME?</definedName>
    <definedName name="_xlpm.fechaFinMax" hidden="1" xlm="1">#NAME?</definedName>
    <definedName name="_xlpm.fechaInicio" hidden="1" xlm="1">#NAME?</definedName>
    <definedName name="_xlpm.fechaInicio2022" hidden="1" xlm="1">#NAME?</definedName>
    <definedName name="_xlpm.fin" hidden="1" xlm="1">#NAME?</definedName>
    <definedName name="_xlpm.inicio" hidden="1" xlm="1">#NAME?</definedName>
    <definedName name="_xlpm.límiteInferior" hidden="1" xlm="1">#NAME?</definedName>
    <definedName name="_xlpm.límiteSuperior" hidden="1" xlm="1">#NAME?</definedName>
    <definedName name="_xlpm.resultado" hidden="1" xlm="1">#NAME?</definedName>
    <definedName name="_xlpm.semanas" hidden="1" xlm="1">#NAME?</definedName>
    <definedName name="_xlpm.totalDiasTeoricos" hidden="1" xlm="1">#NAME?</definedName>
    <definedName name="AA_Setting">#REF!</definedName>
    <definedName name="_xlnm.Print_Area" localSheetId="2">'CAL. PROM. 250 SEM'!$A$1:$G$26</definedName>
    <definedName name="_xlnm.Print_Area" localSheetId="1">CARATULA!$A$1:$J$25</definedName>
    <definedName name="_xlnm.Print_Area" localSheetId="11">'COSTO MOD. 40'!$A$1:$J$35</definedName>
    <definedName name="_xlnm.Print_Area" localSheetId="4">'DATOS GEN.'!$A$1:$F$33</definedName>
    <definedName name="_xlnm.Print_Area" localSheetId="8">'DATOS GEN. MOD 40'!$B$1:$C$10</definedName>
    <definedName name="_xlnm.Print_Area" localSheetId="13">'INCREMENTO PEN'!$A$1:$L$35</definedName>
    <definedName name="_xlnm.Print_Area" localSheetId="6">'PENSIÓN ACTUAL'!$A$1:$E$32</definedName>
    <definedName name="_xlnm.Print_Area" localSheetId="0">README!$A$1:$G$14</definedName>
    <definedName name="Asset_Sale">#REF!</definedName>
    <definedName name="Asset_Sale_Age">#REF!</definedName>
    <definedName name="Asset_Sale_Age2">#REF!</definedName>
    <definedName name="Asset_Sale_Amt">#REF!</definedName>
    <definedName name="Asset_Sale_Amt2">#REF!</definedName>
    <definedName name="Asset_Sale2">#REF!</definedName>
    <definedName name="Auto_Spousal">#REF!</definedName>
    <definedName name="Auto_Spousal_Alt">#REF!</definedName>
    <definedName name="Automate">#REF!</definedName>
    <definedName name="Bond_Alloc_Beg">#REF!</definedName>
    <definedName name="Bond_Alloc_BegTar">#REF!</definedName>
    <definedName name="Bond_Alloc_Chg">#REF!</definedName>
    <definedName name="Bond_Alloc_ChgTar">#REF!</definedName>
    <definedName name="Bond_Rate">#REF!</definedName>
    <definedName name="Bond_Roth">#REF!</definedName>
    <definedName name="Bond_Roth2">#REF!</definedName>
    <definedName name="Bond_Taxable">#REF!</definedName>
    <definedName name="Bond_Taxable2">#REF!</definedName>
    <definedName name="Bond_tIRA1">#REF!</definedName>
    <definedName name="Bond_tIRA12">#REF!</definedName>
    <definedName name="Cash_Rate">#REF!</definedName>
    <definedName name="Cash_Taxable">#REF!</definedName>
    <definedName name="Cash_Taxable2">#REF!</definedName>
    <definedName name="Change_Age">#REF!</definedName>
    <definedName name="Correct_Start">#REF!</definedName>
    <definedName name="Description">#REF!</definedName>
    <definedName name="Discount_Rate">#REF!</definedName>
    <definedName name="ED_Rounding">#REF!</definedName>
    <definedName name="End_Base1">#REF!</definedName>
    <definedName name="End_Base2">#REF!</definedName>
    <definedName name="End_Base3">#REF!</definedName>
    <definedName name="End_Compare1">#REF!</definedName>
    <definedName name="End_Compare2">#REF!</definedName>
    <definedName name="End_Compare3">#REF!</definedName>
    <definedName name="End_ExRoth">#REF!</definedName>
    <definedName name="End_ExRoth1_2">#REF!</definedName>
    <definedName name="End_ExRoth2">#REF!</definedName>
    <definedName name="End_InhIRA">#REF!</definedName>
    <definedName name="End_InhIRA2">#REF!</definedName>
    <definedName name="End_Itemized">#REF!</definedName>
    <definedName name="End_OInc_Long">#REF!</definedName>
    <definedName name="End_OInc_Long2">#REF!</definedName>
    <definedName name="End_OInc_Temp">#REF!</definedName>
    <definedName name="End_OInc_Temp2">#REF!</definedName>
    <definedName name="Error_Check">#REF!</definedName>
    <definedName name="Esc_Base1">#REF!</definedName>
    <definedName name="Esc_Base2">#REF!</definedName>
    <definedName name="Esc_Base3">#REF!</definedName>
    <definedName name="Esc_Compare1">#REF!</definedName>
    <definedName name="Esc_Compare2">#REF!</definedName>
    <definedName name="Esc_Compare3">#REF!</definedName>
    <definedName name="Esc_ExRoth">#REF!</definedName>
    <definedName name="Esc_ExRoth1_2">#REF!</definedName>
    <definedName name="Esc_ExRoth2">#REF!</definedName>
    <definedName name="Esc_Fed_Ded">#REF!</definedName>
    <definedName name="Esc_InhIRA">#REF!</definedName>
    <definedName name="Esc_InhIRA2">#REF!</definedName>
    <definedName name="Esc_Itemized">#REF!</definedName>
    <definedName name="Esc_OInc_Long">#REF!</definedName>
    <definedName name="Esc_OInc_Long2">#REF!</definedName>
    <definedName name="Esc_OInc_Temp">#REF!</definedName>
    <definedName name="Esc_OInc_Temp2">#REF!</definedName>
    <definedName name="Exclude_Taxes">#REF!</definedName>
    <definedName name="Exemptions_Add">#REF!</definedName>
    <definedName name="Exemptions_End">#REF!</definedName>
    <definedName name="Exemptions_Start">#REF!</definedName>
    <definedName name="Expenditure">#REF!</definedName>
    <definedName name="Expenditure_Age">#REF!</definedName>
    <definedName name="Expenditure_Age2">#REF!</definedName>
    <definedName name="Expenditure_Amt">#REF!</definedName>
    <definedName name="Expenditure_Amt2">#REF!</definedName>
    <definedName name="Expenditure2">#REF!</definedName>
    <definedName name="Expense_Change">#REF!</definedName>
    <definedName name="Expense_Chg_Year">#REF!</definedName>
    <definedName name="Expense_Total">#REF!</definedName>
    <definedName name="Filing_Status">#REF!</definedName>
    <definedName name="FilingD">#REF!</definedName>
    <definedName name="Final_Year">#REF!</definedName>
    <definedName name="First_Year">#REF!</definedName>
    <definedName name="FRA_Spouse">#REF!</definedName>
    <definedName name="FRA_Spouse_Alt">#REF!</definedName>
    <definedName name="FRA_You">#REF!</definedName>
    <definedName name="FRA_You_Alt">#REF!</definedName>
    <definedName name="Heir_benefit">#REF!</definedName>
    <definedName name="iIRA_RMD_Age">#REF!</definedName>
    <definedName name="iIRA_RMD_Age2">#REF!</definedName>
    <definedName name="Include_Roth">#REF!</definedName>
    <definedName name="Income_OInc_Long">#REF!</definedName>
    <definedName name="Income_OInc_Long2">#REF!</definedName>
    <definedName name="Income_OInc_Temp">#REF!</definedName>
    <definedName name="Income_OInc_Temp2">#REF!</definedName>
    <definedName name="Inflation">#REF!</definedName>
    <definedName name="Inherit_Age">#REF!</definedName>
    <definedName name="Inherit_Age2">#REF!</definedName>
    <definedName name="Inherit_Taxable">#REF!</definedName>
    <definedName name="Inherit_Taxable2">#REF!</definedName>
    <definedName name="Inherit_Term">#REF!</definedName>
    <definedName name="Inherit_Term2">#REF!</definedName>
    <definedName name="Inherit_tIRA">#REF!</definedName>
    <definedName name="Inherit_tIRA2">#REF!</definedName>
    <definedName name="Inheritance">#REF!</definedName>
    <definedName name="Inheritance2">#REF!</definedName>
    <definedName name="Inheritor">#REF!</definedName>
    <definedName name="Inheritor2">#REF!</definedName>
    <definedName name="IRA_RMD_Age">#REF!</definedName>
    <definedName name="IRA_RMD_Age2">#REF!</definedName>
    <definedName name="IRA_State">#REF!</definedName>
    <definedName name="IRA_State2">#REF!</definedName>
    <definedName name="IRA1_Owner">#REF!</definedName>
    <definedName name="IRA2_Owner">#REF!</definedName>
    <definedName name="IRMAA_Incl">#REF!</definedName>
    <definedName name="IRMAA_Total">#REF!</definedName>
    <definedName name="Itemized">#REF!</definedName>
    <definedName name="Keep_AA">#REF!</definedName>
    <definedName name="Living_Expenses">#REF!</definedName>
    <definedName name="MCapGain_B1">#REF!</definedName>
    <definedName name="MCapGain_B1_P">#REF!</definedName>
    <definedName name="MCapGain_B2">#REF!</definedName>
    <definedName name="MCapGain_B2_P">#REF!</definedName>
    <definedName name="MCapGain_R2">#REF!</definedName>
    <definedName name="MCapGain_R3">#REF!</definedName>
    <definedName name="Medicare_B">#REF!</definedName>
    <definedName name="Medicare_D">#REF!</definedName>
    <definedName name="Medicare_MAGI_1">#REF!</definedName>
    <definedName name="Medicare_MAGI_2">#REF!</definedName>
    <definedName name="MNIIT_R">#REF!</definedName>
    <definedName name="negative_base">#REF!</definedName>
    <definedName name="Negative_Full">#REF!</definedName>
    <definedName name="NoPadres">#REF!</definedName>
    <definedName name="Options">#REF!</definedName>
    <definedName name="Pen_Tax_State">#REF!</definedName>
    <definedName name="Pen_Tax_State2">#REF!</definedName>
    <definedName name="QCD_Age1">#REF!</definedName>
    <definedName name="QCD_Age2">#REF!</definedName>
    <definedName name="QCD_Amt1">#REF!</definedName>
    <definedName name="QCD_Amt2">#REF!</definedName>
    <definedName name="QCD_Src1">#REF!</definedName>
    <definedName name="QCD_Src2">#REF!</definedName>
    <definedName name="QCD1_Cnt">#REF!</definedName>
    <definedName name="QCD1_Name">#REF!</definedName>
    <definedName name="QCD2_Cnt">#REF!</definedName>
    <definedName name="QCD2_Name">#REF!</definedName>
    <definedName name="Qual1">#REF!</definedName>
    <definedName name="Quick_Start">#REF!</definedName>
    <definedName name="Respuesta" localSheetId="7">#REF!</definedName>
    <definedName name="Respuesta">#REF!</definedName>
    <definedName name="Results_Start">#REF!</definedName>
    <definedName name="RM_Change" localSheetId="11">[1]README!#REF!</definedName>
    <definedName name="RM_Change" localSheetId="0">README!#REF!</definedName>
    <definedName name="RM_Change" localSheetId="7">#REF!</definedName>
    <definedName name="RM_Change">#REF!</definedName>
    <definedName name="RM_Disclaimer" localSheetId="11">[1]README!#REF!</definedName>
    <definedName name="RM_Disclaimer" localSheetId="0">README!#REF!</definedName>
    <definedName name="RM_Disclaimer" localSheetId="7">#REF!</definedName>
    <definedName name="RM_Disclaimer">#REF!</definedName>
    <definedName name="RM_Feat" localSheetId="11">[1]README!#REF!</definedName>
    <definedName name="RM_Feat" localSheetId="0">README!#REF!</definedName>
    <definedName name="RM_Feat">#REF!</definedName>
    <definedName name="RM_Key" localSheetId="11">[1]README!#REF!</definedName>
    <definedName name="RM_Key" localSheetId="0">README!#REF!</definedName>
    <definedName name="RM_Key" localSheetId="7">#REF!</definedName>
    <definedName name="RM_Key">#REF!</definedName>
    <definedName name="RM_Links" localSheetId="11">[1]README!#REF!</definedName>
    <definedName name="RM_Links" localSheetId="0">README!#REF!</definedName>
    <definedName name="RM_Links" localSheetId="7">#REF!</definedName>
    <definedName name="RM_Links">#REF!</definedName>
    <definedName name="RM_Macros" localSheetId="11">[1]README!#REF!</definedName>
    <definedName name="RM_Macros" localSheetId="0">README!#REF!</definedName>
    <definedName name="RM_Macros" localSheetId="7">#REF!</definedName>
    <definedName name="RM_Macros">#REF!</definedName>
    <definedName name="RM_Quick" localSheetId="11">[1]README!#REF!</definedName>
    <definedName name="RM_Quick" localSheetId="0">README!#REF!</definedName>
    <definedName name="RM_Quick" localSheetId="7">#REF!</definedName>
    <definedName name="RM_Quick">#REF!</definedName>
    <definedName name="RM_Sheets" localSheetId="11">[1]README!#REF!</definedName>
    <definedName name="RM_Sheets" localSheetId="0">README!#REF!</definedName>
    <definedName name="RM_Sheets" localSheetId="7">#REF!</definedName>
    <definedName name="RM_Sheets">#REF!</definedName>
    <definedName name="RMD_Est">#REF!</definedName>
    <definedName name="RMD_Table">#REF!</definedName>
    <definedName name="Roth_Begin">#REF!</definedName>
    <definedName name="Roth_Conversion">#REF!</definedName>
    <definedName name="Roth_Convert">#REF!</definedName>
    <definedName name="Roth_End">#REF!</definedName>
    <definedName name="Roth_Esc">#REF!</definedName>
    <definedName name="Roth_Method">#REF!</definedName>
    <definedName name="Roth_Return">#REF!</definedName>
    <definedName name="Roth_Return2">#REF!</definedName>
    <definedName name="Roth_Start">#REF!</definedName>
    <definedName name="Roth_Total">#REF!</definedName>
    <definedName name="Roth_W_End">#REF!</definedName>
    <definedName name="Roth_W_Esc">#REF!</definedName>
    <definedName name="Roth_W_Start">#REF!</definedName>
    <definedName name="Roth_With">#REF!</definedName>
    <definedName name="Roth_With_Total">#REF!</definedName>
    <definedName name="Roth1_Add">#REF!</definedName>
    <definedName name="Roth1_End">#REF!</definedName>
    <definedName name="Roth1_Esc">#REF!</definedName>
    <definedName name="Roth1_Start">#REF!</definedName>
    <definedName name="Roth2_Begin">#REF!</definedName>
    <definedName name="Roth2_Return">#REF!</definedName>
    <definedName name="Roth2_Return2">#REF!</definedName>
    <definedName name="RothConv_Return">#REF!</definedName>
    <definedName name="RothConv_Return2">#REF!</definedName>
    <definedName name="Round_To">#REF!</definedName>
    <definedName name="SCapGain_B1">#REF!</definedName>
    <definedName name="SCapGain_B1_P">#REF!</definedName>
    <definedName name="SCapGain_B2">#REF!</definedName>
    <definedName name="SCapGain_B2_P">#REF!</definedName>
    <definedName name="SCapGain_R2">#REF!</definedName>
    <definedName name="SCapGain_R3">#REF!</definedName>
    <definedName name="Shape_Expenses">#REF!</definedName>
    <definedName name="Shape_IRA_Conv">#REF!</definedName>
    <definedName name="Shape_IRA_E">#REF!</definedName>
    <definedName name="Shape_IRA_F">#REF!</definedName>
    <definedName name="Shape_IRA_Inh">#REF!</definedName>
    <definedName name="Shape_IRA_RMD">#REF!</definedName>
    <definedName name="Shape_IRA_S">#REF!</definedName>
    <definedName name="Shape_IRA_W">#REF!</definedName>
    <definedName name="Shape_Other">#REF!</definedName>
    <definedName name="Shape_Portfolio">#REF!</definedName>
    <definedName name="Shape_Portfolio_S">#REF!</definedName>
    <definedName name="Shape_Roth_E">#REF!</definedName>
    <definedName name="Shape_Roth_F">#REF!</definedName>
    <definedName name="Shape_Roth_S">#REF!</definedName>
    <definedName name="Shape_Roth_W">#REF!</definedName>
    <definedName name="Shape_Special">#REF!</definedName>
    <definedName name="Shape_SS">#REF!</definedName>
    <definedName name="Shape_Taxable_E">#REF!</definedName>
    <definedName name="Shape_Taxable_F">#REF!</definedName>
    <definedName name="Shape_Taxable_S">#REF!</definedName>
    <definedName name="Shape_Taxes">#REF!</definedName>
    <definedName name="Single_Rate_Start">#REF!</definedName>
    <definedName name="SNIIT_R">#REF!</definedName>
    <definedName name="SPIA_Age">#REF!</definedName>
    <definedName name="SPIA_Amt">#REF!</definedName>
    <definedName name="SPIA_End">#REF!</definedName>
    <definedName name="SPIA_Esc">#REF!</definedName>
    <definedName name="SPIA_Excl">#REF!</definedName>
    <definedName name="SPIA_From">#REF!</definedName>
    <definedName name="SPIA_Income">#REF!</definedName>
    <definedName name="SPIA_Start">#REF!</definedName>
    <definedName name="Spousal_CA">#REF!</definedName>
    <definedName name="Spousal_CA_Alt">#REF!</definedName>
    <definedName name="Spousal_SS">#REF!</definedName>
    <definedName name="Spousal_SS_Alt">#REF!</definedName>
    <definedName name="Spouse_Age">#REF!</definedName>
    <definedName name="Spouse_Age_End">#REF!</definedName>
    <definedName name="Spouse_End">#REF!</definedName>
    <definedName name="Spouse_End_Input">#REF!</definedName>
    <definedName name="Spouse_SB">#REF!</definedName>
    <definedName name="Spouse_SB_Alt">#REF!</definedName>
    <definedName name="Spouse_Spousal">#REF!</definedName>
    <definedName name="Spouse_Spousal_Alt">#REF!</definedName>
    <definedName name="Spouse_SS">#REF!</definedName>
    <definedName name="Spouse_SS_Add">#REF!</definedName>
    <definedName name="Spouse_SS_Add_Alt">#REF!</definedName>
    <definedName name="Spouse_SS_Alt">#REF!</definedName>
    <definedName name="Spouse_SS_CA">#REF!</definedName>
    <definedName name="Spouse_SS_CA_Alt">#REF!</definedName>
    <definedName name="Spouse_SS_Calc">#REF!</definedName>
    <definedName name="Spouse_SS_Calc_Alt">#REF!</definedName>
    <definedName name="Spouse_SS_End">#REF!</definedName>
    <definedName name="Spouse_SS_End_Alt">#REF!</definedName>
    <definedName name="Spouse_SS_Start">#REF!</definedName>
    <definedName name="Spouse_SS_Start_Alt">#REF!</definedName>
    <definedName name="Spouse_SS_Year">#REF!</definedName>
    <definedName name="Spouse_SSAlt_Year">#REF!</definedName>
    <definedName name="SS_Add">#REF!</definedName>
    <definedName name="SS_Add_Alt">#REF!</definedName>
    <definedName name="SS_Add_Alt_Sp">#REF!</definedName>
    <definedName name="SS_Add_End">#REF!</definedName>
    <definedName name="SS_Add_End_Alt">#REF!</definedName>
    <definedName name="SS_Add_End_Alt_Sp">#REF!</definedName>
    <definedName name="SS_Add_End_Sp">#REF!</definedName>
    <definedName name="SS_Add_Sp">#REF!</definedName>
    <definedName name="SS_Add_Start">#REF!</definedName>
    <definedName name="SS_Add_Start_Alt">#REF!</definedName>
    <definedName name="SS_Add_Start_Alt_Sp">#REF!</definedName>
    <definedName name="SS_Add_Start_Sp">#REF!</definedName>
    <definedName name="SS_COLA">#REF!</definedName>
    <definedName name="SS_COLA_Alt">#REF!</definedName>
    <definedName name="SS_Comparison">#REF!</definedName>
    <definedName name="SS_re_pc">#REF!</definedName>
    <definedName name="SS_re_pc_alt">#REF!</definedName>
    <definedName name="SS_re_yr">#REF!</definedName>
    <definedName name="SS_re_yr_alt">#REF!</definedName>
    <definedName name="SS_Started">#REF!</definedName>
    <definedName name="SS_Started_Alt">#REF!</definedName>
    <definedName name="SS_Tax_State">#REF!</definedName>
    <definedName name="SS_Tax_State2">#REF!</definedName>
    <definedName name="Start_Base1">#REF!</definedName>
    <definedName name="Start_Base2">#REF!</definedName>
    <definedName name="Start_Base3">#REF!</definedName>
    <definedName name="Start_Compare1">#REF!</definedName>
    <definedName name="Start_Compare2">#REF!</definedName>
    <definedName name="Start_Compare3">#REF!</definedName>
    <definedName name="Start_ExRoth">#REF!</definedName>
    <definedName name="Start_ExRoth1_2">#REF!</definedName>
    <definedName name="Start_ExRoth2">#REF!</definedName>
    <definedName name="Start_InhIRA">#REF!</definedName>
    <definedName name="Start_InhIRA2">#REF!</definedName>
    <definedName name="Start_OInc_Long">#REF!</definedName>
    <definedName name="Start_OInc_Long2">#REF!</definedName>
    <definedName name="Start_OInc_Temp">#REF!</definedName>
    <definedName name="Start_OInc_Temp2">#REF!</definedName>
    <definedName name="State_Br_Amt1">#REF!</definedName>
    <definedName name="State_Br_Amt2">#REF!</definedName>
    <definedName name="State_Br_Per1">#REF!</definedName>
    <definedName name="State_Br_Per2">#REF!</definedName>
    <definedName name="State_Br_Per3">#REF!</definedName>
    <definedName name="State_Deduct">#REF!</definedName>
    <definedName name="State_Esc">#REF!</definedName>
    <definedName name="State_Method">#REF!</definedName>
    <definedName name="State_Move_Age">#REF!</definedName>
    <definedName name="State_PE">#REF!</definedName>
    <definedName name="State_Rate">#REF!</definedName>
    <definedName name="State_Rate2">#REF!</definedName>
    <definedName name="State_SD">#REF!</definedName>
    <definedName name="State2_Br_Amt1">#REF!</definedName>
    <definedName name="State2_Br_Amt2">#REF!</definedName>
    <definedName name="State2_Br_Per1">#REF!</definedName>
    <definedName name="State2_Br_Per2">#REF!</definedName>
    <definedName name="State2_Br_Per3">#REF!</definedName>
    <definedName name="State2_Deduct">#REF!</definedName>
    <definedName name="State2_Esc">#REF!</definedName>
    <definedName name="State2_PE">#REF!</definedName>
    <definedName name="State2_SD">#REF!</definedName>
    <definedName name="Stock_Alloc_Beg">#REF!</definedName>
    <definedName name="Stock_Alloc_BegTar">#REF!</definedName>
    <definedName name="Stock_Alloc_Chg">#REF!</definedName>
    <definedName name="Stock_Alloc_ChgTar">#REF!</definedName>
    <definedName name="Stock_Rate">#REF!</definedName>
    <definedName name="Stock_Roth">#REF!</definedName>
    <definedName name="Stock_Roth_2">#REF!</definedName>
    <definedName name="Stock_Roth2">#REF!</definedName>
    <definedName name="Stock_Roth22">#REF!</definedName>
    <definedName name="Stock_RothConv">#REF!</definedName>
    <definedName name="Stock_RothConv2">#REF!</definedName>
    <definedName name="Stock_Taxable">#REF!</definedName>
    <definedName name="Stock_Taxable2">#REF!</definedName>
    <definedName name="Stock_tIRA1">#REF!</definedName>
    <definedName name="Stock_tIRA12">#REF!</definedName>
    <definedName name="Stock_tIRA2">#REF!</definedName>
    <definedName name="Stock_tIRA22">#REF!</definedName>
    <definedName name="Sum_Rnd">#REF!</definedName>
    <definedName name="Tax_Calc_Year">#REF!</definedName>
    <definedName name="Tax_Esc_Input">#REF!</definedName>
    <definedName name="Tax_Est">#REF!</definedName>
    <definedName name="Tax_Rates_Alt">#REF!</definedName>
    <definedName name="Tax_Rates_Year">#REF!</definedName>
    <definedName name="Tax_Rounding">#REF!</definedName>
    <definedName name="Tax_Year">#REF!</definedName>
    <definedName name="Tax_Yr_C">#REF!</definedName>
    <definedName name="Tax_Yr_P">#REF!</definedName>
    <definedName name="Taxable_Adj1">#REF!</definedName>
    <definedName name="Taxable_Adj2">#REF!</definedName>
    <definedName name="Taxable_Adj3">#REF!</definedName>
    <definedName name="Taxable_Adj4">#REF!</definedName>
    <definedName name="Taxable_Begin">#REF!</definedName>
    <definedName name="Taxable_LTCG_Adj">#REF!</definedName>
    <definedName name="Taxable_LTCG_Adj_Base">#REF!</definedName>
    <definedName name="Taxable_Min">#REF!</definedName>
    <definedName name="Taxable_Return">#REF!</definedName>
    <definedName name="Taxable_Return2">#REF!</definedName>
    <definedName name="Taxable_Tax_Rate">#REF!</definedName>
    <definedName name="TaxC_M_1A">#REF!</definedName>
    <definedName name="TaxC_M_1E">#REF!</definedName>
    <definedName name="TaxC_M_1R">#REF!</definedName>
    <definedName name="TaxC_M_1S">#REF!</definedName>
    <definedName name="TaxC_M_2A">#REF!</definedName>
    <definedName name="TaxC_M_2E">#REF!</definedName>
    <definedName name="TaxC_M_2R">#REF!</definedName>
    <definedName name="TaxC_M_2S">#REF!</definedName>
    <definedName name="TaxC_M_3A">#REF!</definedName>
    <definedName name="TaxC_M_3E">#REF!</definedName>
    <definedName name="TaxC_M_3R">#REF!</definedName>
    <definedName name="TaxC_M_3S">#REF!</definedName>
    <definedName name="TaxC_M_4A">#REF!</definedName>
    <definedName name="TaxC_M_4E">#REF!</definedName>
    <definedName name="TaxC_M_4R">#REF!</definedName>
    <definedName name="TaxC_M_4S">#REF!</definedName>
    <definedName name="TaxC_M_5A">#REF!</definedName>
    <definedName name="TaxC_M_5E">#REF!</definedName>
    <definedName name="TaxC_M_5R">#REF!</definedName>
    <definedName name="TaxC_M_5S">#REF!</definedName>
    <definedName name="TaxC_M_6A">#REF!</definedName>
    <definedName name="TaxC_M_6E">#REF!</definedName>
    <definedName name="TaxC_M_6R">#REF!</definedName>
    <definedName name="TaxC_M_6S">#REF!</definedName>
    <definedName name="TaxC_M_7R">#REF!</definedName>
    <definedName name="TaxC_M_7S">#REF!</definedName>
    <definedName name="TaxC_S_1A">#REF!</definedName>
    <definedName name="TaxC_S_1E">#REF!</definedName>
    <definedName name="TaxC_S_1R">#REF!</definedName>
    <definedName name="TaxC_S_1S">#REF!</definedName>
    <definedName name="TaxC_S_2A">#REF!</definedName>
    <definedName name="TaxC_S_2E">#REF!</definedName>
    <definedName name="TaxC_S_2R">#REF!</definedName>
    <definedName name="TaxC_S_2S">#REF!</definedName>
    <definedName name="TaxC_S_3A">#REF!</definedName>
    <definedName name="TaxC_S_3E">#REF!</definedName>
    <definedName name="TaxC_S_3R">#REF!</definedName>
    <definedName name="TaxC_S_3S">#REF!</definedName>
    <definedName name="TaxC_S_4A">#REF!</definedName>
    <definedName name="TaxC_S_4E">#REF!</definedName>
    <definedName name="TaxC_S_4R">#REF!</definedName>
    <definedName name="TaxC_S_4S">#REF!</definedName>
    <definedName name="TaxC_S_5A">#REF!</definedName>
    <definedName name="TaxC_S_5E">#REF!</definedName>
    <definedName name="TaxC_S_5R">#REF!</definedName>
    <definedName name="TaxC_S_5S">#REF!</definedName>
    <definedName name="TaxC_S_6A">#REF!</definedName>
    <definedName name="TaxC_S_6E">#REF!</definedName>
    <definedName name="TaxC_S_6R">#REF!</definedName>
    <definedName name="TaxC_S_6S">#REF!</definedName>
    <definedName name="TaxC_S_7R">#REF!</definedName>
    <definedName name="TaxC_S_7S">#REF!</definedName>
    <definedName name="TaxCalc_Status">#REF!</definedName>
    <definedName name="TaxEx_Alloc_Beg">#REF!</definedName>
    <definedName name="TaxEx_Alloc_BegTar">#REF!</definedName>
    <definedName name="TaxEx_Alloc_Chg">#REF!</definedName>
    <definedName name="TaxEx_Alloc_ChgTar">#REF!</definedName>
    <definedName name="TaxEx_Rate">#REF!</definedName>
    <definedName name="TaxEx_State">#REF!</definedName>
    <definedName name="TaxEx_State2">#REF!</definedName>
    <definedName name="TaxEx_Taxable">#REF!</definedName>
    <definedName name="TaxEx_Taxable2">#REF!</definedName>
    <definedName name="TaxP_M_1A">#REF!</definedName>
    <definedName name="TaxP_M_1E">#REF!</definedName>
    <definedName name="TaxP_M_1R">#REF!</definedName>
    <definedName name="TaxP_M_1S">#REF!</definedName>
    <definedName name="TaxP_M_2A">#REF!</definedName>
    <definedName name="TaxP_M_2E">#REF!</definedName>
    <definedName name="TaxP_M_2R">#REF!</definedName>
    <definedName name="TaxP_M_2S">#REF!</definedName>
    <definedName name="TaxP_M_3A">#REF!</definedName>
    <definedName name="TaxP_M_3E">#REF!</definedName>
    <definedName name="TaxP_M_3R">#REF!</definedName>
    <definedName name="TaxP_M_3S">#REF!</definedName>
    <definedName name="TaxP_M_4A">#REF!</definedName>
    <definedName name="TaxP_M_4E">#REF!</definedName>
    <definedName name="TaxP_M_4R">#REF!</definedName>
    <definedName name="TaxP_M_4S">#REF!</definedName>
    <definedName name="TaxP_M_5A">#REF!</definedName>
    <definedName name="TaxP_M_5E">#REF!</definedName>
    <definedName name="TaxP_M_5R">#REF!</definedName>
    <definedName name="TaxP_M_5S">#REF!</definedName>
    <definedName name="TaxP_M_6A">#REF!</definedName>
    <definedName name="TaxP_M_6E">#REF!</definedName>
    <definedName name="TaxP_M_6R">#REF!</definedName>
    <definedName name="TaxP_M_6S">#REF!</definedName>
    <definedName name="TaxP_M_7R">#REF!</definedName>
    <definedName name="TaxP_M_7S">#REF!</definedName>
    <definedName name="TaxP_S_1A">#REF!</definedName>
    <definedName name="TaxP_S_1E">#REF!</definedName>
    <definedName name="TaxP_S_1R">#REF!</definedName>
    <definedName name="TaxP_S_1S">#REF!</definedName>
    <definedName name="TaxP_S_2A">#REF!</definedName>
    <definedName name="TaxP_S_2E">#REF!</definedName>
    <definedName name="TaxP_S_2R">#REF!</definedName>
    <definedName name="TaxP_S_2S">#REF!</definedName>
    <definedName name="TaxP_S_3A">#REF!</definedName>
    <definedName name="TaxP_S_3E">#REF!</definedName>
    <definedName name="TaxP_S_3R">#REF!</definedName>
    <definedName name="TaxP_S_3S">#REF!</definedName>
    <definedName name="TaxP_S_4A">#REF!</definedName>
    <definedName name="TaxP_S_4E">#REF!</definedName>
    <definedName name="TaxP_S_4R">#REF!</definedName>
    <definedName name="TaxP_S_4S">#REF!</definedName>
    <definedName name="TaxP_S_5A">#REF!</definedName>
    <definedName name="TaxP_S_5E">#REF!</definedName>
    <definedName name="TaxP_S_5R">#REF!</definedName>
    <definedName name="TaxP_S_5S">#REF!</definedName>
    <definedName name="TaxP_S_6A">#REF!</definedName>
    <definedName name="TaxP_S_6E">#REF!</definedName>
    <definedName name="TaxP_S_6R">#REF!</definedName>
    <definedName name="TaxP_S_6S">#REF!</definedName>
    <definedName name="TaxP_S_7R">#REF!</definedName>
    <definedName name="TaxP_S_7S">#REF!</definedName>
    <definedName name="Temp_Expense">#REF!</definedName>
    <definedName name="Temp_Expense_End">#REF!</definedName>
    <definedName name="Temp_Expense_Start">#REF!</definedName>
    <definedName name="TenYear1">#REF!</definedName>
    <definedName name="TenYear10">#REF!</definedName>
    <definedName name="TenYear2">#REF!</definedName>
    <definedName name="TenYear3">#REF!</definedName>
    <definedName name="TenYear4">#REF!</definedName>
    <definedName name="TenYear5">#REF!</definedName>
    <definedName name="TenYear6">#REF!</definedName>
    <definedName name="TenYear7">#REF!</definedName>
    <definedName name="TenYear8">#REF!</definedName>
    <definedName name="TenYear9">#REF!</definedName>
    <definedName name="Test_Age_S">#REF!</definedName>
    <definedName name="Test_Age_Y">#REF!</definedName>
    <definedName name="Test_COLA">#REF!</definedName>
    <definedName name="Test_FRA_S">#REF!</definedName>
    <definedName name="Test_FRA_Y">#REF!</definedName>
    <definedName name="Test_PIA_S">#REF!</definedName>
    <definedName name="Test_PIA_Y">#REF!</definedName>
    <definedName name="tIRA_Begin">#REF!</definedName>
    <definedName name="tIRA_Begin2">#REF!</definedName>
    <definedName name="tIRA_Return">#REF!</definedName>
    <definedName name="tIRA_Return2">#REF!</definedName>
    <definedName name="tIRA_Withdr_Base1">#REF!</definedName>
    <definedName name="tIRA_Withdr_Base2">#REF!</definedName>
    <definedName name="tIRA_Withdr_Base3">#REF!</definedName>
    <definedName name="tIRA_Withdr_Compare1">#REF!</definedName>
    <definedName name="tIRA_Withdr_Compare2">#REF!</definedName>
    <definedName name="tIRA_Withdr_Compare3">#REF!</definedName>
    <definedName name="tIRA1_Add">#REF!</definedName>
    <definedName name="tIRA1_End">#REF!</definedName>
    <definedName name="tIRA1_Esc">#REF!</definedName>
    <definedName name="tIRA1_Start">#REF!</definedName>
    <definedName name="tIRA2_Add">#REF!</definedName>
    <definedName name="tIRA2_End">#REF!</definedName>
    <definedName name="tIRA2_Esc">#REF!</definedName>
    <definedName name="tIRA2_Return">#REF!</definedName>
    <definedName name="tIRA2_Return2">#REF!</definedName>
    <definedName name="tIRA2_Start">#REF!</definedName>
    <definedName name="Total_Years">#REF!</definedName>
    <definedName name="Use_Class">#REF!</definedName>
    <definedName name="Version" localSheetId="0">README!$D$1</definedName>
    <definedName name="Version">#REF!</definedName>
    <definedName name="With_ExRoth">#REF!</definedName>
    <definedName name="With_ExRoth1_2">#REF!</definedName>
    <definedName name="With_ExRoth2">#REF!</definedName>
    <definedName name="With_InhIRA">#REF!</definedName>
    <definedName name="With_InhIRA2">#REF!</definedName>
    <definedName name="Your_Age">#REF!</definedName>
    <definedName name="Your_Age_End">#REF!</definedName>
    <definedName name="Your_End">#REF!</definedName>
    <definedName name="Your_End_Input">#REF!</definedName>
    <definedName name="Your_SB">#REF!</definedName>
    <definedName name="Your_SB_Alt">#REF!</definedName>
    <definedName name="Your_Spousal">#REF!</definedName>
    <definedName name="Your_Spousal_Alt">#REF!</definedName>
    <definedName name="Your_SS">#REF!</definedName>
    <definedName name="Your_SS_Add">#REF!</definedName>
    <definedName name="Your_SS_Add_Alt">#REF!</definedName>
    <definedName name="Your_SS_Alt">#REF!</definedName>
    <definedName name="Your_SS_CA">#REF!</definedName>
    <definedName name="Your_SS_CA_Alt">#REF!</definedName>
    <definedName name="Your_SS_Calc">#REF!</definedName>
    <definedName name="Your_SS_Calc_Alt">#REF!</definedName>
    <definedName name="Your_SS_End">#REF!</definedName>
    <definedName name="Your_SS_End_Alt">#REF!</definedName>
    <definedName name="Your_SS_Start">#REF!</definedName>
    <definedName name="Your_SS_Start_Alt">#REF!</definedName>
    <definedName name="Your_SS_Year">#REF!</definedName>
    <definedName name="Your_SSAlt_Yea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1" l="1"/>
  <c r="C14" i="19"/>
  <c r="C15" i="19"/>
  <c r="C16" i="19"/>
  <c r="C13" i="19"/>
  <c r="E3" i="23"/>
  <c r="D12" i="62" a="1"/>
  <c r="D12" i="62" s="1"/>
  <c r="H7" i="62" l="1"/>
  <c r="H6" i="62"/>
  <c r="G6" i="62"/>
  <c r="F12" i="62" l="1"/>
  <c r="F13" i="62" s="1"/>
  <c r="F14" i="62" s="1"/>
  <c r="F15" i="62" s="1"/>
  <c r="F16" i="62" s="1"/>
  <c r="F17" i="62" s="1"/>
  <c r="C13" i="62"/>
  <c r="C14" i="62" s="1"/>
  <c r="C15" i="62" s="1"/>
  <c r="C16" i="62" s="1"/>
  <c r="C17" i="62" s="1"/>
  <c r="C18" i="62" s="1"/>
  <c r="C19" i="62" s="1"/>
  <c r="C20" i="62" s="1"/>
  <c r="C21" i="62" s="1"/>
  <c r="C22" i="62" s="1"/>
  <c r="C23" i="62" s="1"/>
  <c r="C24" i="62" s="1"/>
  <c r="C25" i="62" s="1"/>
  <c r="C26" i="62" s="1"/>
  <c r="C27" i="62" s="1"/>
  <c r="C28" i="62" s="1"/>
  <c r="C29" i="62" s="1"/>
  <c r="C30" i="62" s="1"/>
  <c r="C31" i="62" s="1"/>
  <c r="C32" i="62" s="1"/>
  <c r="D13" i="62"/>
  <c r="D14" i="62" s="1"/>
  <c r="D15" i="62" s="1"/>
  <c r="D16" i="62" s="1"/>
  <c r="D17" i="62" s="1"/>
  <c r="D18" i="62" s="1"/>
  <c r="D19" i="62" s="1"/>
  <c r="D20" i="62" s="1"/>
  <c r="D21" i="62" s="1"/>
  <c r="D22" i="62" s="1"/>
  <c r="D23" i="62" s="1"/>
  <c r="D24" i="62" s="1"/>
  <c r="D25" i="62" s="1"/>
  <c r="D26" i="62" s="1"/>
  <c r="D27" i="62" s="1"/>
  <c r="D28" i="62" s="1"/>
  <c r="D29" i="62" s="1"/>
  <c r="D30" i="62" s="1"/>
  <c r="D31" i="62" s="1"/>
  <c r="D32" i="62" s="1"/>
  <c r="G14" i="61"/>
  <c r="P13" i="3"/>
  <c r="F18" i="62" l="1"/>
  <c r="H17" i="62"/>
  <c r="G12" i="62"/>
  <c r="H8" i="62"/>
  <c r="O2" i="33"/>
  <c r="G13" i="62" l="1"/>
  <c r="H12" i="62"/>
  <c r="H18" i="62"/>
  <c r="F19" i="62"/>
  <c r="O3" i="33"/>
  <c r="G2" i="33"/>
  <c r="F20" i="62" l="1"/>
  <c r="H19" i="62"/>
  <c r="H13" i="62"/>
  <c r="G14" i="62"/>
  <c r="O4" i="33"/>
  <c r="G3" i="33"/>
  <c r="H14" i="62" l="1"/>
  <c r="G15" i="62"/>
  <c r="F21" i="62"/>
  <c r="H20" i="62"/>
  <c r="O5" i="33"/>
  <c r="G4" i="33"/>
  <c r="C10" i="40"/>
  <c r="H21" i="62" l="1"/>
  <c r="F22" i="62"/>
  <c r="G16" i="62"/>
  <c r="H16" i="62" s="1"/>
  <c r="H15" i="62"/>
  <c r="O6" i="33"/>
  <c r="G5" i="33"/>
  <c r="F23" i="62" l="1"/>
  <c r="H22" i="62"/>
  <c r="O7" i="33"/>
  <c r="G6" i="33"/>
  <c r="B5" i="23"/>
  <c r="B6" i="23"/>
  <c r="B3" i="23"/>
  <c r="H23" i="62" l="1"/>
  <c r="F24" i="62"/>
  <c r="O8" i="33"/>
  <c r="G7" i="33"/>
  <c r="E18" i="21"/>
  <c r="E14" i="21"/>
  <c r="B22" i="27" s="1"/>
  <c r="F25" i="62" l="1"/>
  <c r="H24" i="62"/>
  <c r="O9" i="33"/>
  <c r="G8" i="33"/>
  <c r="B4" i="23"/>
  <c r="E12" i="23" s="1"/>
  <c r="E4" i="23"/>
  <c r="L20" i="3"/>
  <c r="L23" i="3"/>
  <c r="L24" i="3"/>
  <c r="L22" i="3"/>
  <c r="L21" i="3"/>
  <c r="F26" i="62" l="1"/>
  <c r="H25" i="62"/>
  <c r="O10" i="33"/>
  <c r="G9" i="33"/>
  <c r="E7" i="23"/>
  <c r="H26" i="62" l="1"/>
  <c r="F27" i="62"/>
  <c r="O11" i="33"/>
  <c r="G10" i="33"/>
  <c r="F28" i="62" l="1"/>
  <c r="H27" i="62"/>
  <c r="O12" i="33"/>
  <c r="G11" i="33"/>
  <c r="B23" i="27"/>
  <c r="C23" i="27"/>
  <c r="E11" i="19"/>
  <c r="H28" i="62" l="1"/>
  <c r="F29" i="62"/>
  <c r="O13" i="33"/>
  <c r="G12" i="33"/>
  <c r="E12" i="19"/>
  <c r="E13" i="19" s="1"/>
  <c r="F30" i="62" l="1"/>
  <c r="H29" i="62"/>
  <c r="O14" i="33"/>
  <c r="G13" i="33"/>
  <c r="E14" i="19"/>
  <c r="E15" i="19" s="1"/>
  <c r="F31" i="62" l="1"/>
  <c r="H30" i="62"/>
  <c r="O15" i="33"/>
  <c r="G14" i="33"/>
  <c r="E16" i="19"/>
  <c r="E17" i="19" s="1"/>
  <c r="F32" i="62" l="1"/>
  <c r="H31" i="62"/>
  <c r="O16" i="33"/>
  <c r="G15" i="33"/>
  <c r="E18" i="19"/>
  <c r="E19" i="19" s="1"/>
  <c r="E20" i="19" s="1"/>
  <c r="H32" i="62" l="1"/>
  <c r="O17" i="33"/>
  <c r="G16" i="33"/>
  <c r="E21" i="19"/>
  <c r="E22" i="19" s="1"/>
  <c r="O18" i="33" l="1"/>
  <c r="G17" i="33"/>
  <c r="E23" i="19"/>
  <c r="O19" i="33" l="1"/>
  <c r="G18" i="33"/>
  <c r="E24" i="19"/>
  <c r="O20" i="33" l="1"/>
  <c r="G19" i="33"/>
  <c r="E25" i="19"/>
  <c r="O21" i="33" l="1"/>
  <c r="G20" i="33"/>
  <c r="E26" i="19"/>
  <c r="O22" i="33" l="1"/>
  <c r="G21" i="33"/>
  <c r="E27" i="19"/>
  <c r="E28" i="19" s="1"/>
  <c r="E29" i="19" s="1"/>
  <c r="E30" i="19" s="1"/>
  <c r="E31" i="19" s="1"/>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O23" i="33" l="1"/>
  <c r="G22" i="33"/>
  <c r="O24" i="33" l="1"/>
  <c r="G23" i="33"/>
  <c r="O25" i="33" l="1"/>
  <c r="G24" i="33"/>
  <c r="O26" i="33" l="1"/>
  <c r="G25" i="33"/>
  <c r="H57" i="3"/>
  <c r="H75" i="3"/>
  <c r="O52" i="3"/>
  <c r="O27" i="33" l="1"/>
  <c r="G26" i="33"/>
  <c r="C49" i="39"/>
  <c r="C48" i="39"/>
  <c r="C46" i="39"/>
  <c r="C47" i="39"/>
  <c r="C45" i="39"/>
  <c r="O28" i="33" l="1"/>
  <c r="G27" i="33"/>
  <c r="O29" i="33" l="1"/>
  <c r="P29" i="33" s="1"/>
  <c r="H29" i="33" s="1"/>
  <c r="G28" i="33"/>
  <c r="C6" i="29"/>
  <c r="P3" i="33"/>
  <c r="H3" i="33" s="1"/>
  <c r="P4" i="33"/>
  <c r="H4" i="33" s="1"/>
  <c r="P5" i="33"/>
  <c r="H5" i="33" s="1"/>
  <c r="P6" i="33"/>
  <c r="H6" i="33" s="1"/>
  <c r="P7" i="33"/>
  <c r="H7" i="33" s="1"/>
  <c r="P8" i="33"/>
  <c r="H8" i="33" s="1"/>
  <c r="P9" i="33"/>
  <c r="H9" i="33" s="1"/>
  <c r="P10" i="33"/>
  <c r="H10" i="33" s="1"/>
  <c r="P11" i="33"/>
  <c r="H11" i="33" s="1"/>
  <c r="P12" i="33"/>
  <c r="H12" i="33" s="1"/>
  <c r="P13" i="33"/>
  <c r="H13" i="33" s="1"/>
  <c r="P14" i="33"/>
  <c r="H14" i="33" s="1"/>
  <c r="P15" i="33"/>
  <c r="H15" i="33" s="1"/>
  <c r="P16" i="33"/>
  <c r="H16" i="33" s="1"/>
  <c r="P17" i="33"/>
  <c r="H17" i="33" s="1"/>
  <c r="P18" i="33"/>
  <c r="H18" i="33" s="1"/>
  <c r="P19" i="33"/>
  <c r="H19" i="33" s="1"/>
  <c r="P20" i="33"/>
  <c r="H20" i="33" s="1"/>
  <c r="P21" i="33"/>
  <c r="H21" i="33" s="1"/>
  <c r="P22" i="33"/>
  <c r="H22" i="33" s="1"/>
  <c r="P23" i="33"/>
  <c r="H23" i="33" s="1"/>
  <c r="P24" i="33"/>
  <c r="H24" i="33" s="1"/>
  <c r="P25" i="33"/>
  <c r="H25" i="33" s="1"/>
  <c r="P26" i="33"/>
  <c r="H26" i="33" s="1"/>
  <c r="P27" i="33"/>
  <c r="H27" i="33" s="1"/>
  <c r="P28" i="33"/>
  <c r="H28" i="33" s="1"/>
  <c r="P2" i="33"/>
  <c r="H2" i="33" s="1"/>
  <c r="E5" i="34"/>
  <c r="O30" i="33" l="1"/>
  <c r="G29" i="33"/>
  <c r="L8" i="27"/>
  <c r="E3" i="34"/>
  <c r="C22" i="27"/>
  <c r="G4" i="30" l="1"/>
  <c r="E4" i="50"/>
  <c r="O31" i="33"/>
  <c r="G30" i="33"/>
  <c r="P30" i="33"/>
  <c r="H30" i="33" s="1"/>
  <c r="E7" i="50"/>
  <c r="E14" i="50"/>
  <c r="E5" i="50"/>
  <c r="E6" i="50"/>
  <c r="E12" i="50"/>
  <c r="E13" i="50"/>
  <c r="E10" i="50"/>
  <c r="E11" i="50"/>
  <c r="E8" i="50"/>
  <c r="E9" i="50"/>
  <c r="E22" i="27"/>
  <c r="C4" i="29"/>
  <c r="C13" i="40"/>
  <c r="C14" i="40"/>
  <c r="C15" i="40"/>
  <c r="O32" i="33" l="1"/>
  <c r="G31" i="33"/>
  <c r="P31" i="33"/>
  <c r="H31" i="33" s="1"/>
  <c r="C12" i="29"/>
  <c r="C16" i="40" s="1"/>
  <c r="E23" i="27"/>
  <c r="C4" i="38"/>
  <c r="O33" i="33" l="1"/>
  <c r="G32" i="33"/>
  <c r="P32" i="33"/>
  <c r="H32" i="33" s="1"/>
  <c r="I188" i="32"/>
  <c r="M246" i="32"/>
  <c r="M247" i="32"/>
  <c r="AF186" i="32"/>
  <c r="AG186" i="32"/>
  <c r="AF187" i="32"/>
  <c r="AG187" i="32"/>
  <c r="AF188" i="32"/>
  <c r="AG188" i="32"/>
  <c r="AF189" i="32"/>
  <c r="AF190" i="32"/>
  <c r="AF191" i="32"/>
  <c r="AF192" i="32"/>
  <c r="AF193" i="32"/>
  <c r="AF194" i="32"/>
  <c r="AF195" i="32"/>
  <c r="AF196" i="32"/>
  <c r="AF197" i="32"/>
  <c r="AF198" i="32"/>
  <c r="AF199" i="32"/>
  <c r="AF200" i="32"/>
  <c r="AF201" i="32"/>
  <c r="AF202" i="32"/>
  <c r="AF203" i="32"/>
  <c r="AF204" i="32"/>
  <c r="AF205" i="32"/>
  <c r="AF206" i="32"/>
  <c r="AF207" i="32"/>
  <c r="AF208" i="32"/>
  <c r="AF209" i="32"/>
  <c r="AF210" i="32"/>
  <c r="AF211" i="32"/>
  <c r="AF212" i="32"/>
  <c r="AF213" i="32"/>
  <c r="AF214" i="32"/>
  <c r="AF215" i="32"/>
  <c r="AF216" i="32"/>
  <c r="AF217" i="32"/>
  <c r="AF218" i="32"/>
  <c r="AF219" i="32"/>
  <c r="AF220" i="32"/>
  <c r="AF221" i="32"/>
  <c r="AF222" i="32"/>
  <c r="AF223" i="32"/>
  <c r="AF224" i="32"/>
  <c r="AF225" i="32"/>
  <c r="AF226" i="32"/>
  <c r="AF227" i="32"/>
  <c r="AF228" i="32"/>
  <c r="AF229" i="32"/>
  <c r="AF230" i="32"/>
  <c r="AF231" i="32"/>
  <c r="AF232" i="32"/>
  <c r="AF233" i="32"/>
  <c r="AF234" i="32"/>
  <c r="AF235" i="32"/>
  <c r="AF236" i="32"/>
  <c r="AF237" i="32"/>
  <c r="AF238" i="32"/>
  <c r="AF239" i="32"/>
  <c r="AF240" i="32"/>
  <c r="AF241" i="32"/>
  <c r="AF242" i="32"/>
  <c r="AF243" i="32"/>
  <c r="AF244" i="32"/>
  <c r="AF245" i="32"/>
  <c r="AF246" i="32"/>
  <c r="AF247" i="32"/>
  <c r="R188" i="32"/>
  <c r="V188" i="32"/>
  <c r="R189" i="32"/>
  <c r="R190" i="32"/>
  <c r="R191" i="32"/>
  <c r="R192" i="32" s="1"/>
  <c r="M188" i="32"/>
  <c r="M189" i="32"/>
  <c r="O34" i="33" l="1"/>
  <c r="G33" i="33"/>
  <c r="P33" i="33"/>
  <c r="H33" i="33" s="1"/>
  <c r="C3" i="40"/>
  <c r="I189" i="32"/>
  <c r="AG189" i="32"/>
  <c r="R193" i="32"/>
  <c r="V189" i="32"/>
  <c r="M190" i="32"/>
  <c r="O35" i="33" l="1"/>
  <c r="G34" i="33"/>
  <c r="P34" i="33"/>
  <c r="H34" i="33" s="1"/>
  <c r="I190" i="32"/>
  <c r="AG190" i="32"/>
  <c r="V190" i="32"/>
  <c r="R194" i="32"/>
  <c r="M191" i="32"/>
  <c r="O36" i="33" l="1"/>
  <c r="G35" i="33"/>
  <c r="P35" i="33"/>
  <c r="H35" i="33" s="1"/>
  <c r="I191" i="32"/>
  <c r="AG191" i="32"/>
  <c r="R195" i="32"/>
  <c r="V191" i="32"/>
  <c r="M192" i="32"/>
  <c r="O37" i="33" l="1"/>
  <c r="G36" i="33"/>
  <c r="P36" i="33"/>
  <c r="H36" i="33" s="1"/>
  <c r="I192" i="32"/>
  <c r="AG192" i="32"/>
  <c r="V192" i="32"/>
  <c r="R196" i="32"/>
  <c r="M193" i="32"/>
  <c r="O38" i="33" l="1"/>
  <c r="G37" i="33"/>
  <c r="P37" i="33"/>
  <c r="H37" i="33" s="1"/>
  <c r="I193" i="32"/>
  <c r="AG193" i="32"/>
  <c r="R197" i="32"/>
  <c r="V193" i="32"/>
  <c r="M194" i="32"/>
  <c r="O39" i="33" l="1"/>
  <c r="G38" i="33"/>
  <c r="P38" i="33"/>
  <c r="H38" i="33" s="1"/>
  <c r="I194" i="32"/>
  <c r="AG194" i="32"/>
  <c r="V194" i="32"/>
  <c r="R198" i="32"/>
  <c r="M195" i="32"/>
  <c r="O40" i="33" l="1"/>
  <c r="G39" i="33"/>
  <c r="P39" i="33"/>
  <c r="H39" i="33" s="1"/>
  <c r="I195" i="32"/>
  <c r="AG195" i="32"/>
  <c r="R199" i="32"/>
  <c r="V195" i="32"/>
  <c r="M196" i="32"/>
  <c r="O41" i="33" l="1"/>
  <c r="G40" i="33"/>
  <c r="P40" i="33"/>
  <c r="H40" i="33" s="1"/>
  <c r="I196" i="32"/>
  <c r="AG196" i="32"/>
  <c r="V196" i="32"/>
  <c r="R200" i="32"/>
  <c r="M197" i="32"/>
  <c r="O42" i="33" l="1"/>
  <c r="G41" i="33"/>
  <c r="P41" i="33"/>
  <c r="H41" i="33" s="1"/>
  <c r="I197" i="32"/>
  <c r="AG197" i="32"/>
  <c r="R201" i="32"/>
  <c r="V197" i="32"/>
  <c r="M198" i="32"/>
  <c r="O43" i="33" l="1"/>
  <c r="G42" i="33"/>
  <c r="P42" i="33"/>
  <c r="H42" i="33" s="1"/>
  <c r="I198" i="32"/>
  <c r="AG198" i="32"/>
  <c r="V198" i="32"/>
  <c r="R202" i="32"/>
  <c r="M199" i="32"/>
  <c r="O44" i="33" l="1"/>
  <c r="G43" i="33"/>
  <c r="P43" i="33"/>
  <c r="H43" i="33" s="1"/>
  <c r="I199" i="32"/>
  <c r="AG199" i="32"/>
  <c r="R203" i="32"/>
  <c r="V199" i="32"/>
  <c r="M200" i="32"/>
  <c r="O45" i="33" l="1"/>
  <c r="G44" i="33"/>
  <c r="P44" i="33"/>
  <c r="H44" i="33" s="1"/>
  <c r="I200" i="32"/>
  <c r="AG200" i="32"/>
  <c r="R204" i="32"/>
  <c r="V200" i="32"/>
  <c r="M201" i="32"/>
  <c r="O46" i="33" l="1"/>
  <c r="G45" i="33"/>
  <c r="P45" i="33"/>
  <c r="I201" i="32"/>
  <c r="AG201" i="32"/>
  <c r="R205" i="32"/>
  <c r="V201" i="32"/>
  <c r="M202" i="32"/>
  <c r="H45" i="33" l="1"/>
  <c r="O47" i="33"/>
  <c r="G46" i="33"/>
  <c r="P46" i="33"/>
  <c r="I202" i="32"/>
  <c r="AG202" i="32"/>
  <c r="V202" i="32"/>
  <c r="R206" i="32"/>
  <c r="M203" i="32"/>
  <c r="O48" i="33" l="1"/>
  <c r="G47" i="33"/>
  <c r="P47" i="33"/>
  <c r="H46" i="33"/>
  <c r="I203" i="32"/>
  <c r="AG203" i="32"/>
  <c r="R207" i="32"/>
  <c r="V203" i="32"/>
  <c r="M204" i="32"/>
  <c r="H47" i="33" l="1"/>
  <c r="O49" i="33"/>
  <c r="G48" i="33"/>
  <c r="P48" i="33"/>
  <c r="I204" i="32"/>
  <c r="AG204" i="32"/>
  <c r="V204" i="32"/>
  <c r="R208" i="32"/>
  <c r="M205" i="32"/>
  <c r="H48" i="33" l="1"/>
  <c r="O50" i="33"/>
  <c r="G49" i="33"/>
  <c r="P49" i="33"/>
  <c r="I205" i="32"/>
  <c r="AG205" i="32"/>
  <c r="R209" i="32"/>
  <c r="V205" i="32"/>
  <c r="M206" i="32"/>
  <c r="H49" i="33" l="1"/>
  <c r="O51" i="33"/>
  <c r="G50" i="33"/>
  <c r="P50" i="33"/>
  <c r="I206" i="32"/>
  <c r="AG206" i="32"/>
  <c r="V206" i="32"/>
  <c r="R210" i="32"/>
  <c r="M207" i="32"/>
  <c r="H50" i="33" l="1"/>
  <c r="O52" i="33"/>
  <c r="G51" i="33"/>
  <c r="P51" i="33"/>
  <c r="I207" i="32"/>
  <c r="AG207" i="32"/>
  <c r="R211" i="32"/>
  <c r="V207" i="32"/>
  <c r="M208" i="32"/>
  <c r="O53" i="33" l="1"/>
  <c r="G52" i="33"/>
  <c r="P52" i="33"/>
  <c r="H51" i="33"/>
  <c r="I208" i="32"/>
  <c r="AG208" i="32"/>
  <c r="V208" i="32"/>
  <c r="R212" i="32"/>
  <c r="M209" i="32"/>
  <c r="H52" i="33" l="1"/>
  <c r="O54" i="33"/>
  <c r="G53" i="33"/>
  <c r="P53" i="33"/>
  <c r="I209" i="32"/>
  <c r="AG209" i="32"/>
  <c r="R213" i="32"/>
  <c r="V209" i="32"/>
  <c r="M210" i="32"/>
  <c r="O55" i="33" l="1"/>
  <c r="G54" i="33"/>
  <c r="P54" i="33"/>
  <c r="H53" i="33"/>
  <c r="I210" i="32"/>
  <c r="AG210" i="32"/>
  <c r="V210" i="32"/>
  <c r="R214" i="32"/>
  <c r="M211" i="32"/>
  <c r="H54" i="33" l="1"/>
  <c r="O56" i="33"/>
  <c r="G55" i="33"/>
  <c r="P55" i="33"/>
  <c r="I211" i="32"/>
  <c r="AG211" i="32"/>
  <c r="R215" i="32"/>
  <c r="V211" i="32"/>
  <c r="M212" i="32"/>
  <c r="O57" i="33" l="1"/>
  <c r="G56" i="33"/>
  <c r="P56" i="33"/>
  <c r="H55" i="33"/>
  <c r="I212" i="32"/>
  <c r="AG212" i="32"/>
  <c r="V212" i="32"/>
  <c r="R216" i="32"/>
  <c r="M213" i="32"/>
  <c r="H56" i="33" l="1"/>
  <c r="O58" i="33"/>
  <c r="G57" i="33"/>
  <c r="P57" i="33"/>
  <c r="I213" i="32"/>
  <c r="AG213" i="32"/>
  <c r="R217" i="32"/>
  <c r="V213" i="32"/>
  <c r="M214" i="32"/>
  <c r="H57" i="33" l="1"/>
  <c r="O59" i="33"/>
  <c r="G58" i="33"/>
  <c r="P58" i="33"/>
  <c r="I214" i="32"/>
  <c r="AG214" i="32"/>
  <c r="V214" i="32"/>
  <c r="R218" i="32"/>
  <c r="M215" i="32"/>
  <c r="O60" i="33" l="1"/>
  <c r="G59" i="33"/>
  <c r="P59" i="33"/>
  <c r="H58" i="33"/>
  <c r="I215" i="32"/>
  <c r="AG215" i="32"/>
  <c r="R219" i="32"/>
  <c r="V215" i="32"/>
  <c r="M216" i="32"/>
  <c r="H59" i="33" l="1"/>
  <c r="O61" i="33"/>
  <c r="G60" i="33"/>
  <c r="P60" i="33"/>
  <c r="H60" i="33" s="1"/>
  <c r="I216" i="32"/>
  <c r="AG216" i="32"/>
  <c r="V216" i="32"/>
  <c r="R220" i="32"/>
  <c r="M217" i="32"/>
  <c r="G61" i="33" l="1"/>
  <c r="P61" i="33"/>
  <c r="N61" i="33" s="1"/>
  <c r="N60" i="33" s="1"/>
  <c r="N59" i="33" s="1"/>
  <c r="N58" i="33" s="1"/>
  <c r="N57" i="33" s="1"/>
  <c r="N56" i="33" s="1"/>
  <c r="N55" i="33" s="1"/>
  <c r="N54" i="33" s="1"/>
  <c r="N53" i="33" s="1"/>
  <c r="N52" i="33" s="1"/>
  <c r="N51" i="33" s="1"/>
  <c r="N50" i="33" s="1"/>
  <c r="N49" i="33" s="1"/>
  <c r="N48" i="33" s="1"/>
  <c r="N47" i="33" s="1"/>
  <c r="N46" i="33" s="1"/>
  <c r="N45" i="33" s="1"/>
  <c r="N44" i="33" s="1"/>
  <c r="N43" i="33" s="1"/>
  <c r="N42" i="33" s="1"/>
  <c r="N41" i="33" s="1"/>
  <c r="N40" i="33" s="1"/>
  <c r="N39" i="33" s="1"/>
  <c r="N38" i="33" s="1"/>
  <c r="N37" i="33" s="1"/>
  <c r="N36" i="33" s="1"/>
  <c r="N35" i="33" s="1"/>
  <c r="N34" i="33" s="1"/>
  <c r="N33" i="33" s="1"/>
  <c r="N32" i="33" s="1"/>
  <c r="N31" i="33" s="1"/>
  <c r="N30" i="33" s="1"/>
  <c r="N29" i="33" s="1"/>
  <c r="N28" i="33" s="1"/>
  <c r="N27" i="33" s="1"/>
  <c r="N26" i="33" s="1"/>
  <c r="N25" i="33" s="1"/>
  <c r="N24" i="33" s="1"/>
  <c r="N23" i="33" s="1"/>
  <c r="N22" i="33" s="1"/>
  <c r="N21" i="33" s="1"/>
  <c r="N20" i="33" s="1"/>
  <c r="N19" i="33" s="1"/>
  <c r="N18" i="33" s="1"/>
  <c r="N17" i="33" s="1"/>
  <c r="N16" i="33" s="1"/>
  <c r="N15" i="33" s="1"/>
  <c r="N14" i="33" s="1"/>
  <c r="N13" i="33" s="1"/>
  <c r="N12" i="33" s="1"/>
  <c r="N11" i="33" s="1"/>
  <c r="N10" i="33" s="1"/>
  <c r="N9" i="33" s="1"/>
  <c r="N8" i="33" s="1"/>
  <c r="N7" i="33" s="1"/>
  <c r="N6" i="33" s="1"/>
  <c r="N5" i="33" s="1"/>
  <c r="N4" i="33" s="1"/>
  <c r="N3" i="33" s="1"/>
  <c r="N2" i="33" s="1"/>
  <c r="I217" i="32"/>
  <c r="AG217" i="32"/>
  <c r="R221" i="32"/>
  <c r="V217" i="32"/>
  <c r="M218" i="32"/>
  <c r="H61" i="33" l="1"/>
  <c r="I218" i="32"/>
  <c r="AG218" i="32"/>
  <c r="V218" i="32"/>
  <c r="R222" i="32"/>
  <c r="M219" i="32"/>
  <c r="F61" i="33" l="1"/>
  <c r="I219" i="32"/>
  <c r="AG219" i="32"/>
  <c r="R223" i="32"/>
  <c r="V219" i="32"/>
  <c r="M220" i="32"/>
  <c r="F60" i="33" l="1"/>
  <c r="I220" i="32"/>
  <c r="AG220" i="32"/>
  <c r="V220" i="32"/>
  <c r="R224" i="32"/>
  <c r="M221" i="32"/>
  <c r="F59" i="33" l="1"/>
  <c r="I221" i="32"/>
  <c r="AG221" i="32"/>
  <c r="R225" i="32"/>
  <c r="V221" i="32"/>
  <c r="M222" i="32"/>
  <c r="F58" i="33" l="1"/>
  <c r="I222" i="32"/>
  <c r="AG222" i="32"/>
  <c r="V222" i="32"/>
  <c r="R226" i="32"/>
  <c r="M223" i="32"/>
  <c r="F57" i="33" l="1"/>
  <c r="I223" i="32"/>
  <c r="AG223" i="32"/>
  <c r="R227" i="32"/>
  <c r="V223" i="32"/>
  <c r="M224" i="32"/>
  <c r="F56" i="33" l="1"/>
  <c r="I224" i="32"/>
  <c r="AG224" i="32"/>
  <c r="V224" i="32"/>
  <c r="R228" i="32"/>
  <c r="M225" i="32"/>
  <c r="F55" i="33" l="1"/>
  <c r="I225" i="32"/>
  <c r="AG225" i="32"/>
  <c r="R229" i="32"/>
  <c r="V225" i="32"/>
  <c r="M226" i="32"/>
  <c r="F54" i="33" l="1"/>
  <c r="I226" i="32"/>
  <c r="AG226" i="32"/>
  <c r="V226" i="32"/>
  <c r="R230" i="32"/>
  <c r="M227" i="32"/>
  <c r="F53" i="33" l="1"/>
  <c r="I227" i="32"/>
  <c r="AG227" i="32"/>
  <c r="R231" i="32"/>
  <c r="V227" i="32"/>
  <c r="M228" i="32"/>
  <c r="F52" i="33" l="1"/>
  <c r="I228" i="32"/>
  <c r="AG228" i="32"/>
  <c r="V228" i="32"/>
  <c r="R232" i="32"/>
  <c r="M229" i="32"/>
  <c r="F51" i="33" l="1"/>
  <c r="I229" i="32"/>
  <c r="AG229" i="32"/>
  <c r="R233" i="32"/>
  <c r="V229" i="32"/>
  <c r="M230" i="32"/>
  <c r="F50" i="33" l="1"/>
  <c r="I230" i="32"/>
  <c r="AG230" i="32"/>
  <c r="V230" i="32"/>
  <c r="R234" i="32"/>
  <c r="M231" i="32"/>
  <c r="F49" i="33" l="1"/>
  <c r="I231" i="32"/>
  <c r="AG231" i="32"/>
  <c r="R235" i="32"/>
  <c r="V231" i="32"/>
  <c r="M232" i="32"/>
  <c r="F48" i="33" l="1"/>
  <c r="I232" i="32"/>
  <c r="AG232" i="32"/>
  <c r="V232" i="32"/>
  <c r="R236" i="32"/>
  <c r="M233" i="32"/>
  <c r="F47" i="33" l="1"/>
  <c r="I233" i="32"/>
  <c r="AG233" i="32"/>
  <c r="R237" i="32"/>
  <c r="V233" i="32"/>
  <c r="M234" i="32"/>
  <c r="F46" i="33" l="1"/>
  <c r="I234" i="32"/>
  <c r="AG234" i="32"/>
  <c r="V234" i="32"/>
  <c r="R238" i="32"/>
  <c r="M235" i="32"/>
  <c r="F45" i="33" l="1"/>
  <c r="I235" i="32"/>
  <c r="AG235" i="32"/>
  <c r="R239" i="32"/>
  <c r="V235" i="32"/>
  <c r="M236" i="32"/>
  <c r="F44" i="33" l="1"/>
  <c r="I236" i="32"/>
  <c r="AG236" i="32"/>
  <c r="V236" i="32"/>
  <c r="R240" i="32"/>
  <c r="M237" i="32"/>
  <c r="F43" i="33" l="1"/>
  <c r="I237" i="32"/>
  <c r="AG237" i="32"/>
  <c r="R241" i="32"/>
  <c r="V237" i="32"/>
  <c r="M238" i="32"/>
  <c r="F42" i="33" l="1"/>
  <c r="I238" i="32"/>
  <c r="AG238" i="32"/>
  <c r="V238" i="32"/>
  <c r="R242" i="32"/>
  <c r="M239" i="32"/>
  <c r="F41" i="33" l="1"/>
  <c r="I239" i="32"/>
  <c r="AG239" i="32"/>
  <c r="R243" i="32"/>
  <c r="V239" i="32"/>
  <c r="M240" i="32"/>
  <c r="F40" i="33" l="1"/>
  <c r="I240" i="32"/>
  <c r="AG240" i="32"/>
  <c r="V240" i="32"/>
  <c r="R244" i="32"/>
  <c r="M241" i="32"/>
  <c r="F39" i="33" l="1"/>
  <c r="I241" i="32"/>
  <c r="AG241" i="32"/>
  <c r="V241" i="32"/>
  <c r="R245" i="32"/>
  <c r="M242" i="32"/>
  <c r="F38" i="33" l="1"/>
  <c r="I242" i="32"/>
  <c r="AG242" i="32"/>
  <c r="R246" i="32"/>
  <c r="V242" i="32"/>
  <c r="M243" i="32"/>
  <c r="F37" i="33" l="1"/>
  <c r="I243" i="32"/>
  <c r="AG243" i="32"/>
  <c r="V243" i="32"/>
  <c r="R247" i="32"/>
  <c r="M244" i="32"/>
  <c r="F36" i="33" l="1"/>
  <c r="I244" i="32"/>
  <c r="AG244" i="32"/>
  <c r="V244" i="32"/>
  <c r="M245" i="32"/>
  <c r="F35" i="33" l="1"/>
  <c r="I245" i="32"/>
  <c r="AG245" i="32"/>
  <c r="V245" i="32"/>
  <c r="F34" i="33" l="1"/>
  <c r="I246" i="32"/>
  <c r="AG246" i="32"/>
  <c r="V246" i="32"/>
  <c r="F33" i="33" l="1"/>
  <c r="I247" i="32"/>
  <c r="AG247" i="32"/>
  <c r="V247" i="32"/>
  <c r="F32" i="33" l="1"/>
  <c r="J4" i="32"/>
  <c r="AF9" i="32"/>
  <c r="AF10" i="32"/>
  <c r="AF11" i="32"/>
  <c r="AF12" i="32"/>
  <c r="AF13" i="32"/>
  <c r="AF14" i="32"/>
  <c r="AF15" i="32"/>
  <c r="AF16" i="32"/>
  <c r="AF17" i="32"/>
  <c r="AF18" i="32"/>
  <c r="AF19" i="32"/>
  <c r="AF20" i="32"/>
  <c r="AF21" i="32"/>
  <c r="AF22" i="32"/>
  <c r="AF23" i="32"/>
  <c r="AF24" i="32"/>
  <c r="AF25" i="32"/>
  <c r="AF26" i="32"/>
  <c r="AF27" i="32"/>
  <c r="AF28" i="32"/>
  <c r="AF29" i="32"/>
  <c r="AF30" i="32"/>
  <c r="AF31" i="32"/>
  <c r="AF32" i="32"/>
  <c r="AF33" i="32"/>
  <c r="AF34" i="32"/>
  <c r="AF35" i="32"/>
  <c r="AF36" i="32"/>
  <c r="AF37" i="32"/>
  <c r="AF38" i="32"/>
  <c r="AF39" i="32"/>
  <c r="AF40" i="32"/>
  <c r="AF41" i="32"/>
  <c r="AF42" i="32"/>
  <c r="AF43" i="32"/>
  <c r="AF44" i="32"/>
  <c r="AF45" i="32"/>
  <c r="AF46" i="32"/>
  <c r="AF47" i="32"/>
  <c r="AF48" i="32"/>
  <c r="AF49" i="32"/>
  <c r="AF50" i="32"/>
  <c r="AF51" i="32"/>
  <c r="AF52" i="32"/>
  <c r="AF53" i="32"/>
  <c r="AF54" i="32"/>
  <c r="AF55" i="32"/>
  <c r="AF56" i="32"/>
  <c r="AF57" i="32"/>
  <c r="AF58" i="32"/>
  <c r="AF59" i="32"/>
  <c r="AF60" i="32"/>
  <c r="AF61" i="32"/>
  <c r="AF62" i="32"/>
  <c r="AF63" i="32"/>
  <c r="AF64" i="32"/>
  <c r="AF65" i="32"/>
  <c r="AF66" i="32"/>
  <c r="AF67" i="32"/>
  <c r="AF68" i="32"/>
  <c r="AF69" i="32"/>
  <c r="AF70" i="32"/>
  <c r="AF71" i="32"/>
  <c r="AF72" i="32"/>
  <c r="AF73" i="32"/>
  <c r="AF74" i="32"/>
  <c r="AF75" i="32"/>
  <c r="AF76" i="32"/>
  <c r="AF77" i="32"/>
  <c r="AF78" i="32"/>
  <c r="AF79" i="32"/>
  <c r="AF80" i="32"/>
  <c r="AF81" i="32"/>
  <c r="AF82" i="32"/>
  <c r="AF83" i="32"/>
  <c r="AF84" i="32"/>
  <c r="AF85" i="32"/>
  <c r="AF86" i="32"/>
  <c r="AF87" i="32"/>
  <c r="AF88" i="32"/>
  <c r="AF89" i="32"/>
  <c r="AF90" i="32"/>
  <c r="AF91" i="32"/>
  <c r="AF92" i="32"/>
  <c r="AF93" i="32"/>
  <c r="AF94" i="32"/>
  <c r="AF95" i="32"/>
  <c r="AF96" i="32"/>
  <c r="AF97" i="32"/>
  <c r="AF98" i="32"/>
  <c r="AF99" i="32"/>
  <c r="AF100" i="32"/>
  <c r="AF101" i="32"/>
  <c r="AF102" i="32"/>
  <c r="AF103" i="32"/>
  <c r="AF104" i="32"/>
  <c r="AF105" i="32"/>
  <c r="AF106" i="32"/>
  <c r="AF107" i="32"/>
  <c r="AF108" i="32"/>
  <c r="AF109" i="32"/>
  <c r="AF110" i="32"/>
  <c r="AF111" i="32"/>
  <c r="AF112" i="32"/>
  <c r="AF113" i="32"/>
  <c r="AF114" i="32"/>
  <c r="AF115" i="32"/>
  <c r="AF116" i="32"/>
  <c r="AF117" i="32"/>
  <c r="AF118" i="32"/>
  <c r="AF119" i="32"/>
  <c r="AF120" i="32"/>
  <c r="AF121" i="32"/>
  <c r="AF122" i="32"/>
  <c r="AF123" i="32"/>
  <c r="AF124" i="32"/>
  <c r="AF125" i="32"/>
  <c r="AF126" i="32"/>
  <c r="AF127" i="32"/>
  <c r="AF128" i="32"/>
  <c r="AF129" i="32"/>
  <c r="AF130" i="32"/>
  <c r="AF131" i="32"/>
  <c r="AF132" i="32"/>
  <c r="AF133" i="32"/>
  <c r="AF134" i="32"/>
  <c r="AF135" i="32"/>
  <c r="AF136" i="32"/>
  <c r="AF137" i="32"/>
  <c r="AF138" i="32"/>
  <c r="AF139" i="32"/>
  <c r="AF140" i="32"/>
  <c r="AF141" i="32"/>
  <c r="AF142" i="32"/>
  <c r="AF143" i="32"/>
  <c r="AF144" i="32"/>
  <c r="AF145" i="32"/>
  <c r="AF146" i="32"/>
  <c r="AF147" i="32"/>
  <c r="AF148" i="32"/>
  <c r="AF149" i="32"/>
  <c r="AF150" i="32"/>
  <c r="AF151" i="32"/>
  <c r="AF152" i="32"/>
  <c r="AF153" i="32"/>
  <c r="AF154" i="32"/>
  <c r="AF155" i="32"/>
  <c r="AF156" i="32"/>
  <c r="AF157" i="32"/>
  <c r="AF158" i="32"/>
  <c r="AF159" i="32"/>
  <c r="AF160" i="32"/>
  <c r="AF161" i="32"/>
  <c r="AF162" i="32"/>
  <c r="AF163" i="32"/>
  <c r="AF164" i="32"/>
  <c r="AF165" i="32"/>
  <c r="AF166" i="32"/>
  <c r="AF167" i="32"/>
  <c r="AF168" i="32"/>
  <c r="AF169" i="32"/>
  <c r="AF170" i="32"/>
  <c r="AF171" i="32"/>
  <c r="AF172" i="32"/>
  <c r="AF173" i="32"/>
  <c r="AF174" i="32"/>
  <c r="AF175" i="32"/>
  <c r="AF176" i="32"/>
  <c r="AF177" i="32"/>
  <c r="AF178" i="32"/>
  <c r="AF179" i="32"/>
  <c r="AF180" i="32"/>
  <c r="AF181" i="32"/>
  <c r="AF182" i="32"/>
  <c r="AF183" i="32"/>
  <c r="AF184" i="32"/>
  <c r="AF185" i="32"/>
  <c r="AF8" i="32"/>
  <c r="AF7" i="32"/>
  <c r="F31" i="33" l="1"/>
  <c r="C4" i="33"/>
  <c r="C3" i="33"/>
  <c r="F30" i="33" l="1"/>
  <c r="M8" i="32"/>
  <c r="AG8" i="32"/>
  <c r="AA8" i="32"/>
  <c r="V8" i="32"/>
  <c r="V9" i="32" s="1"/>
  <c r="V10" i="32" s="1"/>
  <c r="V11" i="32" s="1"/>
  <c r="S4" i="32"/>
  <c r="AB4" i="32" s="1"/>
  <c r="R8" i="32"/>
  <c r="R9" i="32" s="1"/>
  <c r="R10" i="32" s="1"/>
  <c r="R11" i="32" s="1"/>
  <c r="R12" i="32" s="1"/>
  <c r="R13" i="32" s="1"/>
  <c r="R14" i="32" s="1"/>
  <c r="V12" i="32"/>
  <c r="M9" i="32"/>
  <c r="I8" i="32"/>
  <c r="F29" i="33" l="1"/>
  <c r="AG9" i="32"/>
  <c r="AA9" i="32"/>
  <c r="R15" i="32"/>
  <c r="V13" i="32"/>
  <c r="M10" i="32"/>
  <c r="I9" i="32"/>
  <c r="F28" i="33" l="1"/>
  <c r="AA10" i="32"/>
  <c r="AG10" i="32"/>
  <c r="V14" i="32"/>
  <c r="R16" i="32"/>
  <c r="I10" i="32"/>
  <c r="M11" i="32"/>
  <c r="F27" i="33" l="1"/>
  <c r="AG11" i="32"/>
  <c r="AA11" i="32"/>
  <c r="R17" i="32"/>
  <c r="V15" i="32"/>
  <c r="I11" i="32"/>
  <c r="M12" i="32"/>
  <c r="F26" i="33" l="1"/>
  <c r="AA12" i="32"/>
  <c r="AG12" i="32"/>
  <c r="V16" i="32"/>
  <c r="R18" i="32"/>
  <c r="M13" i="32"/>
  <c r="I12" i="32"/>
  <c r="F25" i="33" l="1"/>
  <c r="AG13" i="32"/>
  <c r="AA13" i="32"/>
  <c r="R19" i="32"/>
  <c r="V17" i="32"/>
  <c r="I13" i="32"/>
  <c r="M14" i="32"/>
  <c r="F24" i="33" l="1"/>
  <c r="AA14" i="32"/>
  <c r="AG14" i="32"/>
  <c r="V18" i="32"/>
  <c r="R20" i="32"/>
  <c r="I14" i="32"/>
  <c r="M15" i="32"/>
  <c r="F23" i="33" l="1"/>
  <c r="AG15" i="32"/>
  <c r="AA15" i="32"/>
  <c r="R21" i="32"/>
  <c r="V19" i="32"/>
  <c r="I15" i="32"/>
  <c r="M16" i="32"/>
  <c r="F22" i="33" l="1"/>
  <c r="AA16" i="32"/>
  <c r="AG16" i="32"/>
  <c r="V20" i="32"/>
  <c r="R22" i="32"/>
  <c r="M17" i="32"/>
  <c r="I16" i="32"/>
  <c r="F21" i="33" l="1"/>
  <c r="AG17" i="32"/>
  <c r="AA17" i="32"/>
  <c r="R23" i="32"/>
  <c r="V21" i="32"/>
  <c r="I17" i="32"/>
  <c r="M18" i="32"/>
  <c r="F20" i="33" l="1"/>
  <c r="AA18" i="32"/>
  <c r="AG18" i="32"/>
  <c r="V22" i="32"/>
  <c r="R24" i="32"/>
  <c r="M19" i="32"/>
  <c r="I18" i="32"/>
  <c r="F19" i="33" l="1"/>
  <c r="AG19" i="32"/>
  <c r="AA19" i="32"/>
  <c r="R25" i="32"/>
  <c r="V23" i="32"/>
  <c r="I19" i="32"/>
  <c r="M20" i="32"/>
  <c r="F18" i="33" l="1"/>
  <c r="AA20" i="32"/>
  <c r="AG20" i="32"/>
  <c r="V24" i="32"/>
  <c r="R26" i="32"/>
  <c r="M21" i="32"/>
  <c r="I20" i="32"/>
  <c r="F17" i="33" l="1"/>
  <c r="AG21" i="32"/>
  <c r="AA21" i="32"/>
  <c r="R27" i="32"/>
  <c r="V25" i="32"/>
  <c r="I21" i="32"/>
  <c r="M22" i="32"/>
  <c r="F16" i="33" l="1"/>
  <c r="AA22" i="32"/>
  <c r="AG22" i="32"/>
  <c r="V26" i="32"/>
  <c r="R28" i="32"/>
  <c r="M23" i="32"/>
  <c r="I22" i="32"/>
  <c r="F15" i="33" l="1"/>
  <c r="AG23" i="32"/>
  <c r="AA23" i="32"/>
  <c r="R29" i="32"/>
  <c r="V27" i="32"/>
  <c r="I23" i="32"/>
  <c r="M24" i="32"/>
  <c r="F14" i="33" l="1"/>
  <c r="AA24" i="32"/>
  <c r="AG24" i="32"/>
  <c r="V28" i="32"/>
  <c r="R30" i="32"/>
  <c r="M25" i="32"/>
  <c r="I24" i="32"/>
  <c r="F13" i="33" l="1"/>
  <c r="AG25" i="32"/>
  <c r="AA25" i="32"/>
  <c r="R31" i="32"/>
  <c r="V29" i="32"/>
  <c r="I25" i="32"/>
  <c r="M26" i="32"/>
  <c r="F12" i="33" l="1"/>
  <c r="AA26" i="32"/>
  <c r="AG26" i="32"/>
  <c r="V30" i="32"/>
  <c r="R32" i="32"/>
  <c r="M27" i="32"/>
  <c r="I26" i="32"/>
  <c r="F11" i="33" l="1"/>
  <c r="AA27" i="32"/>
  <c r="AG27" i="32"/>
  <c r="R33" i="32"/>
  <c r="V31" i="32"/>
  <c r="I27" i="32"/>
  <c r="M28" i="32"/>
  <c r="F10" i="33" l="1"/>
  <c r="AG28" i="32"/>
  <c r="AA28" i="32"/>
  <c r="R34" i="32"/>
  <c r="V32" i="32"/>
  <c r="I28" i="32"/>
  <c r="M29" i="32"/>
  <c r="F9" i="33" l="1"/>
  <c r="AG29" i="32"/>
  <c r="AA29" i="32"/>
  <c r="V33" i="32"/>
  <c r="R35" i="32"/>
  <c r="M30" i="32"/>
  <c r="I29" i="32"/>
  <c r="F8" i="33" l="1"/>
  <c r="AA30" i="32"/>
  <c r="AG30" i="32"/>
  <c r="R36" i="32"/>
  <c r="V34" i="32"/>
  <c r="M31" i="32"/>
  <c r="I30" i="32"/>
  <c r="F7" i="33" l="1"/>
  <c r="AG31" i="32"/>
  <c r="AA31" i="32"/>
  <c r="V35" i="32"/>
  <c r="R37" i="32"/>
  <c r="I31" i="32"/>
  <c r="M32" i="32"/>
  <c r="F6" i="33" l="1"/>
  <c r="AA32" i="32"/>
  <c r="AG32" i="32"/>
  <c r="V36" i="32"/>
  <c r="R38" i="32"/>
  <c r="M33" i="32"/>
  <c r="I32" i="32"/>
  <c r="F5" i="33" l="1"/>
  <c r="AG33" i="32"/>
  <c r="AA33" i="32"/>
  <c r="R39" i="32"/>
  <c r="V37" i="32"/>
  <c r="I33" i="32"/>
  <c r="M34" i="32"/>
  <c r="F4" i="33" l="1"/>
  <c r="AG34" i="32"/>
  <c r="AA34" i="32"/>
  <c r="V38" i="32"/>
  <c r="R40" i="32"/>
  <c r="I34" i="32"/>
  <c r="M35" i="32"/>
  <c r="F2" i="33" l="1"/>
  <c r="F3" i="33"/>
  <c r="AA35" i="32"/>
  <c r="AG35" i="32"/>
  <c r="R41" i="32"/>
  <c r="V39" i="32"/>
  <c r="M36" i="32"/>
  <c r="I35" i="32"/>
  <c r="AG36" i="32" l="1"/>
  <c r="AA36" i="32"/>
  <c r="R42" i="32"/>
  <c r="V40" i="32"/>
  <c r="I36" i="32"/>
  <c r="M37" i="32"/>
  <c r="AA37" i="32" l="1"/>
  <c r="AG37" i="32"/>
  <c r="V41" i="32"/>
  <c r="R43" i="32"/>
  <c r="M38" i="32"/>
  <c r="I37" i="32"/>
  <c r="AG38" i="32" l="1"/>
  <c r="AA38" i="32"/>
  <c r="R44" i="32"/>
  <c r="V42" i="32"/>
  <c r="I38" i="32"/>
  <c r="M39" i="32"/>
  <c r="AG39" i="32" l="1"/>
  <c r="AA39" i="32"/>
  <c r="R45" i="32"/>
  <c r="V43" i="32"/>
  <c r="I39" i="32"/>
  <c r="M40" i="32"/>
  <c r="AA40" i="32" l="1"/>
  <c r="AG40" i="32"/>
  <c r="R46" i="32"/>
  <c r="V44" i="32"/>
  <c r="M41" i="32"/>
  <c r="I40" i="32"/>
  <c r="AG41" i="32" l="1"/>
  <c r="AA41" i="32"/>
  <c r="V45" i="32"/>
  <c r="R47" i="32"/>
  <c r="I41" i="32"/>
  <c r="M42" i="32"/>
  <c r="AA42" i="32" l="1"/>
  <c r="AG42" i="32"/>
  <c r="R48" i="32"/>
  <c r="V46" i="32"/>
  <c r="M43" i="32"/>
  <c r="I42" i="32"/>
  <c r="AG43" i="32" l="1"/>
  <c r="AA43" i="32"/>
  <c r="V47" i="32"/>
  <c r="R49" i="32"/>
  <c r="I43" i="32"/>
  <c r="M44" i="32"/>
  <c r="AA44" i="32" l="1"/>
  <c r="AG44" i="32"/>
  <c r="R50" i="32"/>
  <c r="V48" i="32"/>
  <c r="M45" i="32"/>
  <c r="I44" i="32"/>
  <c r="AG45" i="32" l="1"/>
  <c r="AA45" i="32"/>
  <c r="V49" i="32"/>
  <c r="R51" i="32"/>
  <c r="I45" i="32"/>
  <c r="M46" i="32"/>
  <c r="AA46" i="32" l="1"/>
  <c r="AG46" i="32"/>
  <c r="V50" i="32"/>
  <c r="R52" i="32"/>
  <c r="M47" i="32"/>
  <c r="I46" i="32"/>
  <c r="AA47" i="32" l="1"/>
  <c r="AG47" i="32"/>
  <c r="R53" i="32"/>
  <c r="V51" i="32"/>
  <c r="I47" i="32"/>
  <c r="M48" i="32"/>
  <c r="AG48" i="32" l="1"/>
  <c r="AA48" i="32"/>
  <c r="V52" i="32"/>
  <c r="R54" i="32"/>
  <c r="M49" i="32"/>
  <c r="I48" i="32"/>
  <c r="AG49" i="32" l="1"/>
  <c r="AA49" i="32"/>
  <c r="R55" i="32"/>
  <c r="V53" i="32"/>
  <c r="I49" i="32"/>
  <c r="M50" i="32"/>
  <c r="AA50" i="32" l="1"/>
  <c r="AG50" i="32"/>
  <c r="V54" i="32"/>
  <c r="R56" i="32"/>
  <c r="M51" i="32"/>
  <c r="I50" i="32"/>
  <c r="AG51" i="32" l="1"/>
  <c r="AA51" i="32"/>
  <c r="R57" i="32"/>
  <c r="V55" i="32"/>
  <c r="I51" i="32"/>
  <c r="M52" i="32"/>
  <c r="AA52" i="32" l="1"/>
  <c r="AG52" i="32"/>
  <c r="V56" i="32"/>
  <c r="R58" i="32"/>
  <c r="M53" i="32"/>
  <c r="I52" i="32"/>
  <c r="AG53" i="32" l="1"/>
  <c r="AA53" i="32"/>
  <c r="R59" i="32"/>
  <c r="V57" i="32"/>
  <c r="I53" i="32"/>
  <c r="M54" i="32"/>
  <c r="AA54" i="32" l="1"/>
  <c r="AG54" i="32"/>
  <c r="R60" i="32"/>
  <c r="V58" i="32"/>
  <c r="M55" i="32"/>
  <c r="I54" i="32"/>
  <c r="AG55" i="32" l="1"/>
  <c r="AA55" i="32"/>
  <c r="V59" i="32"/>
  <c r="R61" i="32"/>
  <c r="I55" i="32"/>
  <c r="M56" i="32"/>
  <c r="AA56" i="32" l="1"/>
  <c r="AG56" i="32"/>
  <c r="R62" i="32"/>
  <c r="V60" i="32"/>
  <c r="M57" i="32"/>
  <c r="I56" i="32"/>
  <c r="AA57" i="32" l="1"/>
  <c r="AG57" i="32"/>
  <c r="R63" i="32"/>
  <c r="V61" i="32"/>
  <c r="I57" i="32"/>
  <c r="M58" i="32"/>
  <c r="AG58" i="32" l="1"/>
  <c r="AA58" i="32"/>
  <c r="V62" i="32"/>
  <c r="R64" i="32"/>
  <c r="M59" i="32"/>
  <c r="I58" i="32"/>
  <c r="AA59" i="32" l="1"/>
  <c r="AG59" i="32"/>
  <c r="R65" i="32"/>
  <c r="V63" i="32"/>
  <c r="I59" i="32"/>
  <c r="M60" i="32"/>
  <c r="AG60" i="32" l="1"/>
  <c r="AA60" i="32"/>
  <c r="V64" i="32"/>
  <c r="R66" i="32"/>
  <c r="M61" i="32"/>
  <c r="I60" i="32"/>
  <c r="AG61" i="32" l="1"/>
  <c r="AA61" i="32"/>
  <c r="R67" i="32"/>
  <c r="V65" i="32"/>
  <c r="I61" i="32"/>
  <c r="M62" i="32"/>
  <c r="AA62" i="32" l="1"/>
  <c r="AG62" i="32"/>
  <c r="V66" i="32"/>
  <c r="R68" i="32"/>
  <c r="M63" i="32"/>
  <c r="I62" i="32"/>
  <c r="AG63" i="32" l="1"/>
  <c r="AA63" i="32"/>
  <c r="R69" i="32"/>
  <c r="V67" i="32"/>
  <c r="I63" i="32"/>
  <c r="M64" i="32"/>
  <c r="AG64" i="32" l="1"/>
  <c r="AA64" i="32"/>
  <c r="R70" i="32"/>
  <c r="V68" i="32"/>
  <c r="M65" i="32"/>
  <c r="I64" i="32"/>
  <c r="AA65" i="32" l="1"/>
  <c r="AG65" i="32"/>
  <c r="V69" i="32"/>
  <c r="R71" i="32"/>
  <c r="I65" i="32"/>
  <c r="M66" i="32"/>
  <c r="AG66" i="32" l="1"/>
  <c r="AA66" i="32"/>
  <c r="R72" i="32"/>
  <c r="V70" i="32"/>
  <c r="M67" i="32"/>
  <c r="I66" i="32"/>
  <c r="AA67" i="32" l="1"/>
  <c r="AG67" i="32"/>
  <c r="V71" i="32"/>
  <c r="R73" i="32"/>
  <c r="I67" i="32"/>
  <c r="M68" i="32"/>
  <c r="AG68" i="32" l="1"/>
  <c r="AA68" i="32"/>
  <c r="R74" i="32"/>
  <c r="V72" i="32"/>
  <c r="M69" i="32"/>
  <c r="I68" i="32"/>
  <c r="AA69" i="32" l="1"/>
  <c r="AG69" i="32"/>
  <c r="V73" i="32"/>
  <c r="R75" i="32"/>
  <c r="I69" i="32"/>
  <c r="M70" i="32"/>
  <c r="AG70" i="32" l="1"/>
  <c r="AA70" i="32"/>
  <c r="R76" i="32"/>
  <c r="V74" i="32"/>
  <c r="M71" i="32"/>
  <c r="I70" i="32"/>
  <c r="AA71" i="32" l="1"/>
  <c r="AG71" i="32"/>
  <c r="V75" i="32"/>
  <c r="R77" i="32"/>
  <c r="I71" i="32"/>
  <c r="M72" i="32"/>
  <c r="AG72" i="32" l="1"/>
  <c r="AA72" i="32"/>
  <c r="V76" i="32"/>
  <c r="R78" i="32"/>
  <c r="M73" i="32"/>
  <c r="I72" i="32"/>
  <c r="AA73" i="32" l="1"/>
  <c r="AG73" i="32"/>
  <c r="R79" i="32"/>
  <c r="V77" i="32"/>
  <c r="I73" i="32"/>
  <c r="M74" i="32"/>
  <c r="AG74" i="32" l="1"/>
  <c r="AA74" i="32"/>
  <c r="V78" i="32"/>
  <c r="R80" i="32"/>
  <c r="M75" i="32"/>
  <c r="I74" i="32"/>
  <c r="AA75" i="32" l="1"/>
  <c r="AG75" i="32"/>
  <c r="R81" i="32"/>
  <c r="V79" i="32"/>
  <c r="I75" i="32"/>
  <c r="M76" i="32"/>
  <c r="AG76" i="32" l="1"/>
  <c r="AA76" i="32"/>
  <c r="V80" i="32"/>
  <c r="R82" i="32"/>
  <c r="M77" i="32"/>
  <c r="I76" i="32"/>
  <c r="AA77" i="32" l="1"/>
  <c r="AG77" i="32"/>
  <c r="R83" i="32"/>
  <c r="V81" i="32"/>
  <c r="I77" i="32"/>
  <c r="M78" i="32"/>
  <c r="AG78" i="32" l="1"/>
  <c r="AA78" i="32"/>
  <c r="V82" i="32"/>
  <c r="R84" i="32"/>
  <c r="M79" i="32"/>
  <c r="I78" i="32"/>
  <c r="AA79" i="32" l="1"/>
  <c r="AG79" i="32"/>
  <c r="R85" i="32"/>
  <c r="V83" i="32"/>
  <c r="I79" i="32"/>
  <c r="M80" i="32"/>
  <c r="AG80" i="32" l="1"/>
  <c r="AA80" i="32"/>
  <c r="R86" i="32"/>
  <c r="V84" i="32"/>
  <c r="M81" i="32"/>
  <c r="I80" i="32"/>
  <c r="AA81" i="32" l="1"/>
  <c r="AG81" i="32"/>
  <c r="V85" i="32"/>
  <c r="R87" i="32"/>
  <c r="I81" i="32"/>
  <c r="M82" i="32"/>
  <c r="AA82" i="32" l="1"/>
  <c r="AG82" i="32"/>
  <c r="R88" i="32"/>
  <c r="V86" i="32"/>
  <c r="M83" i="32"/>
  <c r="I82" i="32"/>
  <c r="AG83" i="32" l="1"/>
  <c r="AA83" i="32"/>
  <c r="V87" i="32"/>
  <c r="R89" i="32"/>
  <c r="I83" i="32"/>
  <c r="M84" i="32"/>
  <c r="AA84" i="32" l="1"/>
  <c r="AG84" i="32"/>
  <c r="R90" i="32"/>
  <c r="V88" i="32"/>
  <c r="M85" i="32"/>
  <c r="I84" i="32"/>
  <c r="AG85" i="32" l="1"/>
  <c r="AA85" i="32"/>
  <c r="V89" i="32"/>
  <c r="R91" i="32"/>
  <c r="I85" i="32"/>
  <c r="M86" i="32"/>
  <c r="AA86" i="32" l="1"/>
  <c r="AG86" i="32"/>
  <c r="V90" i="32"/>
  <c r="R92" i="32"/>
  <c r="M87" i="32"/>
  <c r="I86" i="32"/>
  <c r="AG87" i="32" l="1"/>
  <c r="AA87" i="32"/>
  <c r="R93" i="32"/>
  <c r="V91" i="32"/>
  <c r="I87" i="32"/>
  <c r="M88" i="32"/>
  <c r="AA88" i="32" l="1"/>
  <c r="AG88" i="32"/>
  <c r="V92" i="32"/>
  <c r="R94" i="32"/>
  <c r="M89" i="32"/>
  <c r="I88" i="32"/>
  <c r="AG89" i="32" l="1"/>
  <c r="AA89" i="32"/>
  <c r="R95" i="32"/>
  <c r="V93" i="32"/>
  <c r="I89" i="32"/>
  <c r="M90" i="32"/>
  <c r="AA90" i="32" l="1"/>
  <c r="AG90" i="32"/>
  <c r="V94" i="32"/>
  <c r="R96" i="32"/>
  <c r="M91" i="32"/>
  <c r="I90" i="32"/>
  <c r="AG91" i="32" l="1"/>
  <c r="AA91" i="32"/>
  <c r="V95" i="32"/>
  <c r="R97" i="32"/>
  <c r="I91" i="32"/>
  <c r="M92" i="32"/>
  <c r="AA92" i="32" l="1"/>
  <c r="AG92" i="32"/>
  <c r="R98" i="32"/>
  <c r="V96" i="32"/>
  <c r="M93" i="32"/>
  <c r="I92" i="32"/>
  <c r="AA93" i="32" l="1"/>
  <c r="AG93" i="32"/>
  <c r="V97" i="32"/>
  <c r="R99" i="32"/>
  <c r="I93" i="32"/>
  <c r="M94" i="32"/>
  <c r="AG94" i="32" l="1"/>
  <c r="AA94" i="32"/>
  <c r="R100" i="32"/>
  <c r="V98" i="32"/>
  <c r="I94" i="32"/>
  <c r="M95" i="32"/>
  <c r="AA95" i="32" l="1"/>
  <c r="AG95" i="32"/>
  <c r="V99" i="32"/>
  <c r="R101" i="32"/>
  <c r="M96" i="32"/>
  <c r="I95" i="32"/>
  <c r="AG96" i="32" l="1"/>
  <c r="AA96" i="32"/>
  <c r="R102" i="32"/>
  <c r="V100" i="32"/>
  <c r="I96" i="32"/>
  <c r="M97" i="32"/>
  <c r="AA97" i="32" l="1"/>
  <c r="AG97" i="32"/>
  <c r="V101" i="32"/>
  <c r="R103" i="32"/>
  <c r="M98" i="32"/>
  <c r="I97" i="32"/>
  <c r="AG98" i="32" l="1"/>
  <c r="AA98" i="32"/>
  <c r="R104" i="32"/>
  <c r="V102" i="32"/>
  <c r="M99" i="32"/>
  <c r="I98" i="32"/>
  <c r="AA99" i="32" l="1"/>
  <c r="AG99" i="32"/>
  <c r="V103" i="32"/>
  <c r="R105" i="32"/>
  <c r="I99" i="32"/>
  <c r="M100" i="32"/>
  <c r="AG100" i="32" l="1"/>
  <c r="AA100" i="32"/>
  <c r="R106" i="32"/>
  <c r="V104" i="32"/>
  <c r="M101" i="32"/>
  <c r="I100" i="32"/>
  <c r="AA101" i="32" l="1"/>
  <c r="AG101" i="32"/>
  <c r="V105" i="32"/>
  <c r="R107" i="32"/>
  <c r="I101" i="32"/>
  <c r="M102" i="32"/>
  <c r="AG102" i="32" l="1"/>
  <c r="AA102" i="32"/>
  <c r="R108" i="32"/>
  <c r="V106" i="32"/>
  <c r="I102" i="32"/>
  <c r="M103" i="32"/>
  <c r="AA103" i="32" l="1"/>
  <c r="AG103" i="32"/>
  <c r="V107" i="32"/>
  <c r="R109" i="32"/>
  <c r="M104" i="32"/>
  <c r="I103" i="32"/>
  <c r="AA104" i="32" l="1"/>
  <c r="AG104" i="32"/>
  <c r="R110" i="32"/>
  <c r="V108" i="32"/>
  <c r="I104" i="32"/>
  <c r="M105" i="32"/>
  <c r="AG105" i="32" l="1"/>
  <c r="AA105" i="32"/>
  <c r="V109" i="32"/>
  <c r="R111" i="32"/>
  <c r="M106" i="32"/>
  <c r="I105" i="32"/>
  <c r="AA106" i="32" l="1"/>
  <c r="AG106" i="32"/>
  <c r="R112" i="32"/>
  <c r="V110" i="32"/>
  <c r="I106" i="32"/>
  <c r="M107" i="32"/>
  <c r="AG107" i="32" l="1"/>
  <c r="AA107" i="32"/>
  <c r="V111" i="32"/>
  <c r="R113" i="32"/>
  <c r="M108" i="32"/>
  <c r="I107" i="32"/>
  <c r="AA108" i="32" l="1"/>
  <c r="AG108" i="32"/>
  <c r="R114" i="32"/>
  <c r="V112" i="32"/>
  <c r="I108" i="32"/>
  <c r="M109" i="32"/>
  <c r="AG109" i="32" l="1"/>
  <c r="AA109" i="32"/>
  <c r="V113" i="32"/>
  <c r="R115" i="32"/>
  <c r="M110" i="32"/>
  <c r="I109" i="32"/>
  <c r="AA110" i="32" l="1"/>
  <c r="AG110" i="32"/>
  <c r="V114" i="32"/>
  <c r="R116" i="32"/>
  <c r="I110" i="32"/>
  <c r="M111" i="32"/>
  <c r="AG111" i="32" l="1"/>
  <c r="AA111" i="32"/>
  <c r="R117" i="32"/>
  <c r="V115" i="32"/>
  <c r="M112" i="32"/>
  <c r="I111" i="32"/>
  <c r="AA112" i="32" l="1"/>
  <c r="AG112" i="32"/>
  <c r="V116" i="32"/>
  <c r="R118" i="32"/>
  <c r="I112" i="32"/>
  <c r="M113" i="32"/>
  <c r="AG113" i="32" l="1"/>
  <c r="AA113" i="32"/>
  <c r="R119" i="32"/>
  <c r="V117" i="32"/>
  <c r="M114" i="32"/>
  <c r="I113" i="32"/>
  <c r="AA114" i="32" l="1"/>
  <c r="AG114" i="32"/>
  <c r="V118" i="32"/>
  <c r="R120" i="32"/>
  <c r="I114" i="32"/>
  <c r="M115" i="32"/>
  <c r="AG115" i="32" l="1"/>
  <c r="AA115" i="32"/>
  <c r="R121" i="32"/>
  <c r="V119" i="32"/>
  <c r="M116" i="32"/>
  <c r="I115" i="32"/>
  <c r="AA116" i="32" l="1"/>
  <c r="AG116" i="32"/>
  <c r="V120" i="32"/>
  <c r="R122" i="32"/>
  <c r="I116" i="32"/>
  <c r="M117" i="32"/>
  <c r="AG117" i="32" l="1"/>
  <c r="AA117" i="32"/>
  <c r="R123" i="32"/>
  <c r="V121" i="32"/>
  <c r="M118" i="32"/>
  <c r="I117" i="32"/>
  <c r="AA118" i="32" l="1"/>
  <c r="AG118" i="32"/>
  <c r="V122" i="32"/>
  <c r="R124" i="32"/>
  <c r="I118" i="32"/>
  <c r="M119" i="32"/>
  <c r="AG119" i="32" l="1"/>
  <c r="AA119" i="32"/>
  <c r="R125" i="32"/>
  <c r="V123" i="32"/>
  <c r="M120" i="32"/>
  <c r="I119" i="32"/>
  <c r="AA120" i="32" l="1"/>
  <c r="AG120" i="32"/>
  <c r="R126" i="32"/>
  <c r="V124" i="32"/>
  <c r="I120" i="32"/>
  <c r="M121" i="32"/>
  <c r="AG121" i="32" l="1"/>
  <c r="AA121" i="32"/>
  <c r="R127" i="32"/>
  <c r="V125" i="32"/>
  <c r="M122" i="32"/>
  <c r="I121" i="32"/>
  <c r="AA122" i="32" l="1"/>
  <c r="AG122" i="32"/>
  <c r="V126" i="32"/>
  <c r="R128" i="32"/>
  <c r="I122" i="32"/>
  <c r="M123" i="32"/>
  <c r="AG123" i="32" l="1"/>
  <c r="AA123" i="32"/>
  <c r="V127" i="32"/>
  <c r="R129" i="32"/>
  <c r="M124" i="32"/>
  <c r="I123" i="32"/>
  <c r="AA124" i="32" l="1"/>
  <c r="AG124" i="32"/>
  <c r="R130" i="32"/>
  <c r="V128" i="32"/>
  <c r="M125" i="32"/>
  <c r="I124" i="32"/>
  <c r="AG125" i="32" l="1"/>
  <c r="AA125" i="32"/>
  <c r="R131" i="32"/>
  <c r="V129" i="32"/>
  <c r="I125" i="32"/>
  <c r="M126" i="32"/>
  <c r="AA126" i="32" l="1"/>
  <c r="AG126" i="32"/>
  <c r="V130" i="32"/>
  <c r="R132" i="32"/>
  <c r="M127" i="32"/>
  <c r="I126" i="32"/>
  <c r="AG127" i="32" l="1"/>
  <c r="AA127" i="32"/>
  <c r="V131" i="32"/>
  <c r="R133" i="32"/>
  <c r="I127" i="32"/>
  <c r="M128" i="32"/>
  <c r="AA128" i="32" l="1"/>
  <c r="AG128" i="32"/>
  <c r="R134" i="32"/>
  <c r="V132" i="32"/>
  <c r="M129" i="32"/>
  <c r="I128" i="32"/>
  <c r="AG129" i="32" l="1"/>
  <c r="AA129" i="32"/>
  <c r="V133" i="32"/>
  <c r="R135" i="32"/>
  <c r="I129" i="32"/>
  <c r="M130" i="32"/>
  <c r="AA130" i="32" l="1"/>
  <c r="AG130" i="32"/>
  <c r="R136" i="32"/>
  <c r="V134" i="32"/>
  <c r="M131" i="32"/>
  <c r="I130" i="32"/>
  <c r="AG131" i="32" l="1"/>
  <c r="AA131" i="32"/>
  <c r="V135" i="32"/>
  <c r="R137" i="32"/>
  <c r="I131" i="32"/>
  <c r="M132" i="32"/>
  <c r="AA132" i="32" l="1"/>
  <c r="AG132" i="32"/>
  <c r="V136" i="32"/>
  <c r="R138" i="32"/>
  <c r="M133" i="32"/>
  <c r="I132" i="32"/>
  <c r="AG133" i="32" l="1"/>
  <c r="AA133" i="32"/>
  <c r="V137" i="32"/>
  <c r="R139" i="32"/>
  <c r="I133" i="32"/>
  <c r="M134" i="32"/>
  <c r="AA134" i="32" l="1"/>
  <c r="AG134" i="32"/>
  <c r="V138" i="32"/>
  <c r="R140" i="32"/>
  <c r="M135" i="32"/>
  <c r="I134" i="32"/>
  <c r="AG135" i="32" l="1"/>
  <c r="AA135" i="32"/>
  <c r="V139" i="32"/>
  <c r="R141" i="32"/>
  <c r="M136" i="32"/>
  <c r="I135" i="32"/>
  <c r="AA136" i="32" l="1"/>
  <c r="AG136" i="32"/>
  <c r="R142" i="32"/>
  <c r="V140" i="32"/>
  <c r="I136" i="32"/>
  <c r="M137" i="32"/>
  <c r="AG137" i="32" l="1"/>
  <c r="AA137" i="32"/>
  <c r="R143" i="32"/>
  <c r="V141" i="32"/>
  <c r="M138" i="32"/>
  <c r="I137" i="32"/>
  <c r="AA138" i="32" l="1"/>
  <c r="AG138" i="32"/>
  <c r="R144" i="32"/>
  <c r="V142" i="32"/>
  <c r="I138" i="32"/>
  <c r="M139" i="32"/>
  <c r="AG139" i="32" l="1"/>
  <c r="AA139" i="32"/>
  <c r="V143" i="32"/>
  <c r="R145" i="32"/>
  <c r="M140" i="32"/>
  <c r="I139" i="32"/>
  <c r="AA140" i="32" l="1"/>
  <c r="AG140" i="32"/>
  <c r="R146" i="32"/>
  <c r="V144" i="32"/>
  <c r="I140" i="32"/>
  <c r="M141" i="32"/>
  <c r="AG141" i="32" l="1"/>
  <c r="AA141" i="32"/>
  <c r="R147" i="32"/>
  <c r="V145" i="32"/>
  <c r="M142" i="32"/>
  <c r="I141" i="32"/>
  <c r="AA142" i="32" l="1"/>
  <c r="AG142" i="32"/>
  <c r="V146" i="32"/>
  <c r="R148" i="32"/>
  <c r="I142" i="32"/>
  <c r="M143" i="32"/>
  <c r="AG143" i="32" l="1"/>
  <c r="AA143" i="32"/>
  <c r="R149" i="32"/>
  <c r="V147" i="32"/>
  <c r="M144" i="32"/>
  <c r="I143" i="32"/>
  <c r="AA144" i="32" l="1"/>
  <c r="AG144" i="32"/>
  <c r="V148" i="32"/>
  <c r="R150" i="32"/>
  <c r="I144" i="32"/>
  <c r="M145" i="32"/>
  <c r="AG145" i="32" l="1"/>
  <c r="AA145" i="32"/>
  <c r="R151" i="32"/>
  <c r="V149" i="32"/>
  <c r="M146" i="32"/>
  <c r="I145" i="32"/>
  <c r="AA146" i="32" l="1"/>
  <c r="AG146" i="32"/>
  <c r="V150" i="32"/>
  <c r="R152" i="32"/>
  <c r="I146" i="32"/>
  <c r="M147" i="32"/>
  <c r="AG147" i="32" l="1"/>
  <c r="AA147" i="32"/>
  <c r="R153" i="32"/>
  <c r="V151" i="32"/>
  <c r="M148" i="32"/>
  <c r="I147" i="32"/>
  <c r="AA148" i="32" l="1"/>
  <c r="AG148" i="32"/>
  <c r="V152" i="32"/>
  <c r="R154" i="32"/>
  <c r="I148" i="32"/>
  <c r="M149" i="32"/>
  <c r="AG149" i="32" l="1"/>
  <c r="AA149" i="32"/>
  <c r="R155" i="32"/>
  <c r="V153" i="32"/>
  <c r="M150" i="32"/>
  <c r="I149" i="32"/>
  <c r="AA150" i="32" l="1"/>
  <c r="AG150" i="32"/>
  <c r="V154" i="32"/>
  <c r="R156" i="32"/>
  <c r="I150" i="32"/>
  <c r="M151" i="32"/>
  <c r="AG151" i="32" l="1"/>
  <c r="AA151" i="32"/>
  <c r="R157" i="32"/>
  <c r="V155" i="32"/>
  <c r="M152" i="32"/>
  <c r="I151" i="32"/>
  <c r="AA152" i="32" l="1"/>
  <c r="AG152" i="32"/>
  <c r="V156" i="32"/>
  <c r="R158" i="32"/>
  <c r="I152" i="32"/>
  <c r="M153" i="32"/>
  <c r="AG153" i="32" l="1"/>
  <c r="AA153" i="32"/>
  <c r="V157" i="32"/>
  <c r="R159" i="32"/>
  <c r="M154" i="32"/>
  <c r="I153" i="32"/>
  <c r="AA154" i="32" l="1"/>
  <c r="AG154" i="32"/>
  <c r="R160" i="32"/>
  <c r="V158" i="32"/>
  <c r="I154" i="32"/>
  <c r="M155" i="32"/>
  <c r="AG155" i="32" l="1"/>
  <c r="AA155" i="32"/>
  <c r="V159" i="32"/>
  <c r="R161" i="32"/>
  <c r="M156" i="32"/>
  <c r="I155" i="32"/>
  <c r="AA156" i="32" l="1"/>
  <c r="AG156" i="32"/>
  <c r="V160" i="32"/>
  <c r="R162" i="32"/>
  <c r="I156" i="32"/>
  <c r="M157" i="32"/>
  <c r="AG157" i="32" l="1"/>
  <c r="AA157" i="32"/>
  <c r="R163" i="32"/>
  <c r="V161" i="32"/>
  <c r="M158" i="32"/>
  <c r="I157" i="32"/>
  <c r="AG158" i="32" l="1"/>
  <c r="AA158" i="32"/>
  <c r="V162" i="32"/>
  <c r="R164" i="32"/>
  <c r="I158" i="32"/>
  <c r="M159" i="32"/>
  <c r="AA159" i="32" l="1"/>
  <c r="AG159" i="32"/>
  <c r="V163" i="32"/>
  <c r="R165" i="32"/>
  <c r="M160" i="32"/>
  <c r="I159" i="32"/>
  <c r="AG160" i="32" l="1"/>
  <c r="AA160" i="32"/>
  <c r="R166" i="32"/>
  <c r="V164" i="32"/>
  <c r="I160" i="32"/>
  <c r="M161" i="32"/>
  <c r="AA161" i="32" l="1"/>
  <c r="AG161" i="32"/>
  <c r="V165" i="32"/>
  <c r="R167" i="32"/>
  <c r="M162" i="32"/>
  <c r="I161" i="32"/>
  <c r="AA162" i="32" l="1"/>
  <c r="AG162" i="32"/>
  <c r="R168" i="32"/>
  <c r="V166" i="32"/>
  <c r="I162" i="32"/>
  <c r="M163" i="32"/>
  <c r="AG163" i="32" l="1"/>
  <c r="AA163" i="32"/>
  <c r="V167" i="32"/>
  <c r="R169" i="32"/>
  <c r="M164" i="32"/>
  <c r="I163" i="32"/>
  <c r="AA164" i="32" l="1"/>
  <c r="AG164" i="32"/>
  <c r="V168" i="32"/>
  <c r="R170" i="32"/>
  <c r="M165" i="32"/>
  <c r="I164" i="32"/>
  <c r="AG165" i="32" l="1"/>
  <c r="AA165" i="32"/>
  <c r="R171" i="32"/>
  <c r="V169" i="32"/>
  <c r="I165" i="32"/>
  <c r="M166" i="32"/>
  <c r="AG166" i="32" l="1"/>
  <c r="AA166" i="32"/>
  <c r="V170" i="32"/>
  <c r="R172" i="32"/>
  <c r="M167" i="32"/>
  <c r="I166" i="32"/>
  <c r="AA167" i="32" l="1"/>
  <c r="AG167" i="32"/>
  <c r="R173" i="32"/>
  <c r="V171" i="32"/>
  <c r="I167" i="32"/>
  <c r="M168" i="32"/>
  <c r="AG168" i="32" l="1"/>
  <c r="AA168" i="32"/>
  <c r="V172" i="32"/>
  <c r="R174" i="32"/>
  <c r="M169" i="32"/>
  <c r="I168" i="32"/>
  <c r="AA169" i="32" l="1"/>
  <c r="AG169" i="32"/>
  <c r="R175" i="32"/>
  <c r="V173" i="32"/>
  <c r="I169" i="32"/>
  <c r="M170" i="32"/>
  <c r="AG170" i="32" l="1"/>
  <c r="AA170" i="32"/>
  <c r="R176" i="32"/>
  <c r="V174" i="32"/>
  <c r="M171" i="32"/>
  <c r="I170" i="32"/>
  <c r="AA171" i="32" l="1"/>
  <c r="AG171" i="32"/>
  <c r="R177" i="32"/>
  <c r="V175" i="32"/>
  <c r="I171" i="32"/>
  <c r="M172" i="32"/>
  <c r="AG172" i="32" l="1"/>
  <c r="AA172" i="32"/>
  <c r="V176" i="32"/>
  <c r="R178" i="32"/>
  <c r="M173" i="32"/>
  <c r="I172" i="32"/>
  <c r="AA173" i="32" l="1"/>
  <c r="AG173" i="32"/>
  <c r="V177" i="32"/>
  <c r="R179" i="32"/>
  <c r="I173" i="32"/>
  <c r="M174" i="32"/>
  <c r="AA174" i="32" l="1"/>
  <c r="AG174" i="32"/>
  <c r="V178" i="32"/>
  <c r="R180" i="32"/>
  <c r="M175" i="32"/>
  <c r="I174" i="32"/>
  <c r="AG175" i="32" l="1"/>
  <c r="AA175" i="32"/>
  <c r="V179" i="32"/>
  <c r="R181" i="32"/>
  <c r="I175" i="32"/>
  <c r="M176" i="32"/>
  <c r="AA176" i="32" l="1"/>
  <c r="AG176" i="32"/>
  <c r="R182" i="32"/>
  <c r="V180" i="32"/>
  <c r="I176" i="32"/>
  <c r="M177" i="32"/>
  <c r="AG177" i="32" l="1"/>
  <c r="AA177" i="32"/>
  <c r="R183" i="32"/>
  <c r="V181" i="32"/>
  <c r="M178" i="32"/>
  <c r="I177" i="32"/>
  <c r="AA178" i="32" l="1"/>
  <c r="AG178" i="32"/>
  <c r="R184" i="32"/>
  <c r="V182" i="32"/>
  <c r="I178" i="32"/>
  <c r="M179" i="32"/>
  <c r="AG179" i="32" l="1"/>
  <c r="AA179" i="32"/>
  <c r="V183" i="32"/>
  <c r="R185" i="32"/>
  <c r="M180" i="32"/>
  <c r="I179" i="32"/>
  <c r="AA180" i="32" l="1"/>
  <c r="AG180" i="32"/>
  <c r="V184" i="32"/>
  <c r="R186" i="32"/>
  <c r="I180" i="32"/>
  <c r="M181" i="32"/>
  <c r="AG181" i="32" l="1"/>
  <c r="AA181" i="32"/>
  <c r="R187" i="32"/>
  <c r="V185" i="32"/>
  <c r="M182" i="32"/>
  <c r="I181" i="32"/>
  <c r="AA182" i="32" l="1"/>
  <c r="AG182" i="32"/>
  <c r="V186" i="32"/>
  <c r="I182" i="32"/>
  <c r="M183" i="32"/>
  <c r="AG183" i="32" l="1"/>
  <c r="AA183" i="32"/>
  <c r="V187" i="32"/>
  <c r="M184" i="32"/>
  <c r="I183" i="32"/>
  <c r="AA184" i="32" l="1"/>
  <c r="AG184" i="32"/>
  <c r="I184" i="32"/>
  <c r="M185" i="32"/>
  <c r="AG185" i="32" l="1"/>
  <c r="AA185" i="32"/>
  <c r="M186" i="32"/>
  <c r="I185" i="32"/>
  <c r="AA186" i="32" l="1"/>
  <c r="I186" i="32"/>
  <c r="M187" i="32"/>
  <c r="AA187" i="32" l="1"/>
  <c r="I187" i="32"/>
  <c r="C3" i="29" l="1"/>
  <c r="O10" i="3" l="1"/>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W4" i="33" l="1"/>
  <c r="W3" i="33"/>
  <c r="G4" i="3"/>
  <c r="G5" i="3"/>
  <c r="G6" i="3"/>
  <c r="G7" i="3"/>
  <c r="G12" i="3"/>
  <c r="G15" i="3"/>
  <c r="G20" i="3"/>
  <c r="G23" i="3"/>
  <c r="G24" i="3"/>
  <c r="G8" i="3"/>
  <c r="G10" i="3"/>
  <c r="G13" i="3"/>
  <c r="G14" i="3"/>
  <c r="G16" i="3"/>
  <c r="G17" i="3"/>
  <c r="G18" i="3"/>
  <c r="G19" i="3"/>
  <c r="G21" i="3"/>
  <c r="G22" i="3"/>
  <c r="G9" i="3"/>
  <c r="G11" i="3"/>
  <c r="E16" i="21"/>
  <c r="F3" i="3"/>
  <c r="G3" i="3" s="1"/>
  <c r="L3" i="3"/>
  <c r="L5" i="3"/>
  <c r="L13" i="3"/>
  <c r="L6" i="3"/>
  <c r="L12" i="3"/>
  <c r="L17" i="3"/>
  <c r="L7" i="3"/>
  <c r="L14" i="3"/>
  <c r="L16" i="3"/>
  <c r="L19" i="3"/>
  <c r="L8" i="3"/>
  <c r="L9" i="3"/>
  <c r="L10" i="3"/>
  <c r="L11" i="3"/>
  <c r="L15" i="3"/>
  <c r="L18" i="3"/>
  <c r="C50" i="27"/>
  <c r="C45"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C30" i="27"/>
  <c r="C34" i="27"/>
  <c r="C35" i="27"/>
  <c r="C36" i="27"/>
  <c r="C37" i="27"/>
  <c r="C38" i="27"/>
  <c r="C39" i="27"/>
  <c r="C40" i="27"/>
  <c r="C41" i="27"/>
  <c r="C42" i="27"/>
  <c r="C43" i="27"/>
  <c r="C44" i="27"/>
  <c r="C46" i="27"/>
  <c r="C47" i="27"/>
  <c r="C48" i="27"/>
  <c r="C49" i="27"/>
  <c r="C51" i="27"/>
  <c r="C52" i="27"/>
  <c r="C53" i="27"/>
  <c r="C54" i="27"/>
  <c r="C55" i="27"/>
  <c r="C59" i="27"/>
  <c r="C60" i="27"/>
  <c r="C70" i="27"/>
  <c r="C71" i="27"/>
  <c r="C72" i="27"/>
  <c r="C75" i="27"/>
  <c r="C74" i="27"/>
  <c r="C73" i="27"/>
  <c r="C69" i="27"/>
  <c r="C68" i="27"/>
  <c r="C67" i="27"/>
  <c r="C66" i="27"/>
  <c r="C65" i="27"/>
  <c r="C64" i="27"/>
  <c r="C63" i="27"/>
  <c r="C62" i="27"/>
  <c r="C61" i="27"/>
  <c r="C58" i="27"/>
  <c r="C57" i="27"/>
  <c r="C56" i="27"/>
  <c r="C58" i="30"/>
  <c r="C61" i="9"/>
  <c r="C9" i="29"/>
  <c r="C42" i="30" s="1"/>
  <c r="C10" i="29"/>
  <c r="C48" i="30" s="1"/>
  <c r="C8" i="29"/>
  <c r="D4" i="31"/>
  <c r="J3" i="32" s="1" a="1"/>
  <c r="P14" i="3"/>
  <c r="R61" i="33" l="1"/>
  <c r="S61" i="33" s="1"/>
  <c r="C5" i="9"/>
  <c r="C7" i="9" s="1"/>
  <c r="L5" i="27"/>
  <c r="E16" i="27" s="1"/>
  <c r="E4" i="34"/>
  <c r="P15" i="3"/>
  <c r="O13" i="3"/>
  <c r="J3" i="32"/>
  <c r="T3" i="32"/>
  <c r="AC3" i="32" s="1"/>
  <c r="R60" i="33"/>
  <c r="S60" i="33" s="1"/>
  <c r="F5" i="35"/>
  <c r="C5" i="35"/>
  <c r="E15" i="21"/>
  <c r="E22" i="21" s="1"/>
  <c r="C5" i="30" l="1"/>
  <c r="O14" i="3"/>
  <c r="G5" i="30"/>
  <c r="P16" i="3"/>
  <c r="P17" i="3" s="1"/>
  <c r="P18" i="3" s="1"/>
  <c r="P19" i="3" s="1"/>
  <c r="P20" i="3" s="1"/>
  <c r="P21" i="3" s="1"/>
  <c r="P22" i="3" s="1"/>
  <c r="P23" i="3" s="1"/>
  <c r="P24" i="3" s="1"/>
  <c r="P25" i="3" s="1"/>
  <c r="P26" i="3" s="1"/>
  <c r="P27" i="3" s="1"/>
  <c r="P28" i="3" s="1"/>
  <c r="P29" i="3" s="1"/>
  <c r="G6" i="30"/>
  <c r="C14" i="9"/>
  <c r="B15" i="23" s="1"/>
  <c r="C6" i="9"/>
  <c r="E5" i="23"/>
  <c r="C4" i="40"/>
  <c r="O15" i="3"/>
  <c r="O16" i="3" s="1"/>
  <c r="O17" i="3" s="1"/>
  <c r="O18" i="3" s="1"/>
  <c r="O19" i="3" s="1"/>
  <c r="O20" i="3" s="1"/>
  <c r="O21" i="3" s="1"/>
  <c r="O22" i="3" s="1"/>
  <c r="O23" i="3" s="1"/>
  <c r="O24" i="3" s="1"/>
  <c r="O25" i="3" s="1"/>
  <c r="O26" i="3" s="1"/>
  <c r="O27" i="3" s="1"/>
  <c r="O28" i="3" s="1"/>
  <c r="O29" i="3" s="1"/>
  <c r="J61" i="33"/>
  <c r="K61" i="33" s="1"/>
  <c r="S3" i="32"/>
  <c r="AB3" i="32" s="1"/>
  <c r="R59" i="33"/>
  <c r="S59" i="33" s="1"/>
  <c r="C32" i="9"/>
  <c r="C33" i="9" s="1"/>
  <c r="C31" i="27"/>
  <c r="C32" i="27"/>
  <c r="C33" i="27"/>
  <c r="C13" i="9" l="1"/>
  <c r="B34" i="3" s="1"/>
  <c r="C34" i="3" s="1"/>
  <c r="C6" i="30"/>
  <c r="D18" i="28" s="1"/>
  <c r="L7" i="27"/>
  <c r="E17" i="27"/>
  <c r="C4" i="50" s="1"/>
  <c r="F4" i="50" s="1"/>
  <c r="J60" i="33"/>
  <c r="K60" i="33" s="1"/>
  <c r="J59" i="33"/>
  <c r="K59" i="33" s="1"/>
  <c r="R58" i="33"/>
  <c r="S58" i="33" s="1"/>
  <c r="L4" i="3"/>
  <c r="B54" i="3" l="1"/>
  <c r="C54" i="3" s="1"/>
  <c r="B30" i="3"/>
  <c r="C30" i="3" s="1"/>
  <c r="B38" i="3"/>
  <c r="C38" i="3" s="1"/>
  <c r="B47" i="3"/>
  <c r="C47" i="3" s="1"/>
  <c r="B43" i="3"/>
  <c r="C43" i="3" s="1"/>
  <c r="B41" i="3"/>
  <c r="C41" i="3" s="1"/>
  <c r="B50" i="3"/>
  <c r="C50" i="3" s="1"/>
  <c r="B48" i="3"/>
  <c r="C48" i="3" s="1"/>
  <c r="B53" i="3"/>
  <c r="C53" i="3" s="1"/>
  <c r="B46" i="3"/>
  <c r="C46" i="3" s="1"/>
  <c r="B42" i="3"/>
  <c r="C42" i="3" s="1"/>
  <c r="B31" i="3"/>
  <c r="C31" i="3" s="1"/>
  <c r="B44" i="3"/>
  <c r="C44" i="3" s="1"/>
  <c r="B33" i="3"/>
  <c r="C33" i="3" s="1"/>
  <c r="B32" i="3"/>
  <c r="C32" i="3" s="1"/>
  <c r="B39" i="3"/>
  <c r="C39" i="3" s="1"/>
  <c r="B45" i="3"/>
  <c r="C45" i="3" s="1"/>
  <c r="B35" i="3"/>
  <c r="C35" i="3" s="1"/>
  <c r="B51" i="3"/>
  <c r="C51" i="3" s="1"/>
  <c r="B36" i="3"/>
  <c r="C36" i="3" s="1"/>
  <c r="B40" i="3"/>
  <c r="C40" i="3" s="1"/>
  <c r="B52" i="3"/>
  <c r="C52" i="3" s="1"/>
  <c r="B37" i="3"/>
  <c r="C37" i="3" s="1"/>
  <c r="B49" i="3"/>
  <c r="C49" i="3" s="1"/>
  <c r="G4" i="50"/>
  <c r="C5" i="50"/>
  <c r="F5" i="50" s="1"/>
  <c r="C6" i="50"/>
  <c r="F6" i="50" s="1"/>
  <c r="C13" i="50"/>
  <c r="C14" i="50"/>
  <c r="F14" i="50" s="1"/>
  <c r="C11" i="50"/>
  <c r="C12" i="50"/>
  <c r="F12" i="50" s="1"/>
  <c r="C11" i="40"/>
  <c r="C7" i="50"/>
  <c r="F7" i="50" s="1"/>
  <c r="C8" i="50"/>
  <c r="F8" i="50" s="1"/>
  <c r="C9" i="50"/>
  <c r="F9" i="50" s="1"/>
  <c r="C10" i="50"/>
  <c r="F10" i="50" s="1"/>
  <c r="D22" i="27"/>
  <c r="J58" i="33"/>
  <c r="K58" i="33" s="1"/>
  <c r="C5" i="37"/>
  <c r="R57" i="33"/>
  <c r="S57" i="33" s="1"/>
  <c r="D14" i="28"/>
  <c r="F4" i="31"/>
  <c r="N3" i="32" s="1" a="1"/>
  <c r="F11" i="50" l="1"/>
  <c r="W16" i="33" s="1"/>
  <c r="F13" i="50"/>
  <c r="W18" i="33" s="1"/>
  <c r="W11" i="33"/>
  <c r="G6" i="50"/>
  <c r="G5" i="50"/>
  <c r="G13" i="50"/>
  <c r="G11" i="50"/>
  <c r="W19" i="33"/>
  <c r="G14" i="50"/>
  <c r="W17" i="33"/>
  <c r="G12" i="50"/>
  <c r="G10" i="50"/>
  <c r="W15" i="33"/>
  <c r="W14" i="33"/>
  <c r="G9" i="50"/>
  <c r="W12" i="33"/>
  <c r="G7" i="50"/>
  <c r="W13" i="33"/>
  <c r="G8" i="50"/>
  <c r="J57" i="33"/>
  <c r="K57" i="33" s="1"/>
  <c r="D16" i="28"/>
  <c r="F5" i="37"/>
  <c r="N3" i="32"/>
  <c r="N83" i="32" s="1"/>
  <c r="X3" i="32"/>
  <c r="AJ3" i="32" s="1"/>
  <c r="R56" i="33"/>
  <c r="S56" i="33" s="1"/>
  <c r="C29" i="27"/>
  <c r="C24" i="27"/>
  <c r="C26" i="27"/>
  <c r="W7" i="33" l="1"/>
  <c r="W9" i="33"/>
  <c r="W10" i="33"/>
  <c r="W8" i="33"/>
  <c r="G15" i="50"/>
  <c r="C12" i="40" s="1"/>
  <c r="N185" i="32"/>
  <c r="N45" i="32"/>
  <c r="N105" i="32"/>
  <c r="N9" i="32"/>
  <c r="N71" i="32"/>
  <c r="N135" i="32"/>
  <c r="N166" i="32"/>
  <c r="N113" i="32"/>
  <c r="N118" i="32"/>
  <c r="N97" i="32"/>
  <c r="N81" i="32"/>
  <c r="N37" i="32"/>
  <c r="N49" i="32"/>
  <c r="N65" i="32"/>
  <c r="N29" i="32"/>
  <c r="N21" i="32"/>
  <c r="N13" i="32"/>
  <c r="N140" i="32"/>
  <c r="N75" i="32"/>
  <c r="N10" i="32"/>
  <c r="N141" i="32"/>
  <c r="N61" i="32"/>
  <c r="N11" i="32"/>
  <c r="N44" i="32"/>
  <c r="N155" i="32"/>
  <c r="N26" i="32"/>
  <c r="N56" i="32"/>
  <c r="N120" i="32"/>
  <c r="N103" i="32"/>
  <c r="N60" i="32"/>
  <c r="N127" i="32"/>
  <c r="N92" i="32"/>
  <c r="N123" i="32"/>
  <c r="N154" i="32"/>
  <c r="N128" i="32"/>
  <c r="N74" i="32"/>
  <c r="N143" i="32"/>
  <c r="N88" i="32"/>
  <c r="N173" i="32"/>
  <c r="N134" i="32"/>
  <c r="N137" i="32"/>
  <c r="N47" i="32"/>
  <c r="N32" i="32"/>
  <c r="N109" i="32"/>
  <c r="N24" i="32"/>
  <c r="N20" i="32"/>
  <c r="N142" i="32"/>
  <c r="N62" i="32"/>
  <c r="N112" i="32"/>
  <c r="N165" i="32"/>
  <c r="N7" i="32"/>
  <c r="N28" i="32"/>
  <c r="N111" i="32"/>
  <c r="N12" i="32"/>
  <c r="N172" i="32"/>
  <c r="N77" i="32"/>
  <c r="N76" i="32"/>
  <c r="N73" i="32"/>
  <c r="N157" i="32"/>
  <c r="N106" i="32"/>
  <c r="N139" i="32"/>
  <c r="N121" i="32"/>
  <c r="N169" i="32"/>
  <c r="N40" i="32"/>
  <c r="N41" i="32"/>
  <c r="N16" i="32"/>
  <c r="N183" i="32"/>
  <c r="N168" i="32"/>
  <c r="N72" i="32"/>
  <c r="N119" i="32"/>
  <c r="N149" i="32"/>
  <c r="N148" i="32"/>
  <c r="N84" i="32"/>
  <c r="N167" i="32"/>
  <c r="N179" i="32"/>
  <c r="N131" i="32"/>
  <c r="N38" i="32"/>
  <c r="N99" i="32"/>
  <c r="N180" i="32"/>
  <c r="N22" i="32"/>
  <c r="N51" i="32"/>
  <c r="N14" i="32"/>
  <c r="N160" i="32"/>
  <c r="N80" i="32"/>
  <c r="N48" i="32"/>
  <c r="N35" i="32"/>
  <c r="N124" i="32"/>
  <c r="N107" i="32"/>
  <c r="N58" i="32"/>
  <c r="N170" i="32"/>
  <c r="N89" i="32"/>
  <c r="N34" i="32"/>
  <c r="N122" i="32"/>
  <c r="N136" i="32"/>
  <c r="N55" i="32"/>
  <c r="N151" i="32"/>
  <c r="N87" i="32"/>
  <c r="N69" i="32"/>
  <c r="N8" i="32"/>
  <c r="N164" i="32"/>
  <c r="N132" i="32"/>
  <c r="N100" i="32"/>
  <c r="N68" i="32"/>
  <c r="N52" i="32"/>
  <c r="N163" i="32"/>
  <c r="N115" i="32"/>
  <c r="N162" i="32"/>
  <c r="N246" i="32"/>
  <c r="N129" i="32"/>
  <c r="N187" i="32"/>
  <c r="N188" i="32"/>
  <c r="N189" i="32"/>
  <c r="N190" i="32"/>
  <c r="N191" i="32"/>
  <c r="N192" i="32"/>
  <c r="N193" i="32"/>
  <c r="N194" i="32"/>
  <c r="N195" i="32"/>
  <c r="N196" i="32"/>
  <c r="N197" i="32"/>
  <c r="N198" i="32"/>
  <c r="N199" i="32"/>
  <c r="N200" i="32"/>
  <c r="N201" i="32"/>
  <c r="N202" i="32"/>
  <c r="N203" i="32"/>
  <c r="N204" i="32"/>
  <c r="N205" i="32"/>
  <c r="N206" i="32"/>
  <c r="N207" i="32"/>
  <c r="N208" i="32"/>
  <c r="N209" i="32"/>
  <c r="N210" i="32"/>
  <c r="N211" i="32"/>
  <c r="N212" i="32"/>
  <c r="N213" i="32"/>
  <c r="N214" i="32"/>
  <c r="N215" i="32"/>
  <c r="N216" i="32"/>
  <c r="N217" i="32"/>
  <c r="N218" i="32"/>
  <c r="N219" i="32"/>
  <c r="N220" i="32"/>
  <c r="N221" i="32"/>
  <c r="N222" i="32"/>
  <c r="N223" i="32"/>
  <c r="N224" i="32"/>
  <c r="N225" i="32"/>
  <c r="N226" i="32"/>
  <c r="N227" i="32"/>
  <c r="N228" i="32"/>
  <c r="N229" i="32"/>
  <c r="N230" i="32"/>
  <c r="N231" i="32"/>
  <c r="N232" i="32"/>
  <c r="N233" i="32"/>
  <c r="N234" i="32"/>
  <c r="N235" i="32"/>
  <c r="N236" i="32"/>
  <c r="N237" i="32"/>
  <c r="N238" i="32"/>
  <c r="N239" i="32"/>
  <c r="N240" i="32"/>
  <c r="N241" i="32"/>
  <c r="N242" i="32"/>
  <c r="N243" i="32"/>
  <c r="N244" i="32"/>
  <c r="N245" i="32"/>
  <c r="N144" i="32"/>
  <c r="N59" i="32"/>
  <c r="N175" i="32"/>
  <c r="N130" i="32"/>
  <c r="N64" i="32"/>
  <c r="N93" i="32"/>
  <c r="N98" i="32"/>
  <c r="N82" i="32"/>
  <c r="N159" i="32"/>
  <c r="N63" i="32"/>
  <c r="N46" i="32"/>
  <c r="N125" i="32"/>
  <c r="N86" i="32"/>
  <c r="N153" i="32"/>
  <c r="N156" i="32"/>
  <c r="N171" i="32"/>
  <c r="N15" i="32"/>
  <c r="N33" i="32"/>
  <c r="J56" i="33"/>
  <c r="K56" i="33" s="1"/>
  <c r="N70" i="32"/>
  <c r="N181" i="32"/>
  <c r="N158" i="32"/>
  <c r="N117" i="32"/>
  <c r="N94" i="32"/>
  <c r="N85" i="32"/>
  <c r="N53" i="32"/>
  <c r="N19" i="32"/>
  <c r="N31" i="32"/>
  <c r="N91" i="32"/>
  <c r="N23" i="32"/>
  <c r="N43" i="32"/>
  <c r="N116" i="32"/>
  <c r="N147" i="32"/>
  <c r="N67" i="32"/>
  <c r="N96" i="32"/>
  <c r="N25" i="32"/>
  <c r="N17" i="32"/>
  <c r="N27" i="32"/>
  <c r="N101" i="32"/>
  <c r="N79" i="32"/>
  <c r="N182" i="32"/>
  <c r="N50" i="32"/>
  <c r="N57" i="32"/>
  <c r="N95" i="32"/>
  <c r="N184" i="32"/>
  <c r="N152" i="32"/>
  <c r="N108" i="32"/>
  <c r="N39" i="32"/>
  <c r="N110" i="32"/>
  <c r="N133" i="32"/>
  <c r="N176" i="32"/>
  <c r="N104" i="32"/>
  <c r="N178" i="32"/>
  <c r="N146" i="32"/>
  <c r="N161" i="32"/>
  <c r="N145" i="32"/>
  <c r="N177" i="32"/>
  <c r="W3" i="32"/>
  <c r="R55" i="33"/>
  <c r="S55" i="33" s="1"/>
  <c r="B24" i="27"/>
  <c r="E24" i="27" s="1"/>
  <c r="B25" i="27"/>
  <c r="C25" i="27"/>
  <c r="B26" i="27"/>
  <c r="B27" i="27"/>
  <c r="C27" i="27"/>
  <c r="B28" i="27"/>
  <c r="C28" i="27"/>
  <c r="B29" i="27"/>
  <c r="B30" i="27"/>
  <c r="B31" i="27"/>
  <c r="B32" i="27"/>
  <c r="C5" i="29"/>
  <c r="C56" i="9"/>
  <c r="C50" i="9"/>
  <c r="G17" i="50" l="1"/>
  <c r="C19" i="40" s="1"/>
  <c r="E8" i="34"/>
  <c r="E25" i="27"/>
  <c r="E26" i="27" s="1"/>
  <c r="E27" i="27" s="1"/>
  <c r="E28" i="27" s="1"/>
  <c r="E29" i="27" s="1"/>
  <c r="E30" i="27" s="1"/>
  <c r="AH3" i="32"/>
  <c r="AH56" i="32" s="1"/>
  <c r="AI57" i="32" s="1"/>
  <c r="W187" i="32"/>
  <c r="W188" i="32"/>
  <c r="W189" i="32"/>
  <c r="W190" i="32"/>
  <c r="W191" i="32"/>
  <c r="W192" i="32"/>
  <c r="W193" i="32"/>
  <c r="W194" i="32"/>
  <c r="W195" i="32"/>
  <c r="W196" i="32"/>
  <c r="W197" i="32"/>
  <c r="W198" i="32"/>
  <c r="W199" i="32"/>
  <c r="W200" i="32"/>
  <c r="W201" i="32"/>
  <c r="W202" i="32"/>
  <c r="W203" i="32"/>
  <c r="W204" i="32"/>
  <c r="W205" i="32"/>
  <c r="W206" i="32"/>
  <c r="W207" i="32"/>
  <c r="W208" i="32"/>
  <c r="W209" i="32"/>
  <c r="W210" i="32"/>
  <c r="W211" i="32"/>
  <c r="W212" i="32"/>
  <c r="W213" i="32"/>
  <c r="W214" i="32"/>
  <c r="W215" i="32"/>
  <c r="W216" i="32"/>
  <c r="W217" i="32"/>
  <c r="W218" i="32"/>
  <c r="W219" i="32"/>
  <c r="W220" i="32"/>
  <c r="W221" i="32"/>
  <c r="W222" i="32"/>
  <c r="W223" i="32"/>
  <c r="W224" i="32"/>
  <c r="W225" i="32"/>
  <c r="W226" i="32"/>
  <c r="W227" i="32"/>
  <c r="W228" i="32"/>
  <c r="W229" i="32"/>
  <c r="W230" i="32"/>
  <c r="W231" i="32"/>
  <c r="W232" i="32"/>
  <c r="W233" i="32"/>
  <c r="W234" i="32"/>
  <c r="W235" i="32"/>
  <c r="W236" i="32"/>
  <c r="W237" i="32"/>
  <c r="W238" i="32"/>
  <c r="W239" i="32"/>
  <c r="W240" i="32"/>
  <c r="W241" i="32"/>
  <c r="W242" i="32"/>
  <c r="W243" i="32"/>
  <c r="W244" i="32"/>
  <c r="W245" i="32"/>
  <c r="W246" i="32"/>
  <c r="J55" i="33"/>
  <c r="K55" i="33" s="1"/>
  <c r="W23" i="32"/>
  <c r="W39" i="32"/>
  <c r="W55" i="32"/>
  <c r="W71" i="32"/>
  <c r="W87" i="32"/>
  <c r="W103" i="32"/>
  <c r="W119" i="32"/>
  <c r="W135" i="32"/>
  <c r="W151" i="32"/>
  <c r="W167" i="32"/>
  <c r="W183" i="32"/>
  <c r="W94" i="32"/>
  <c r="W158" i="32"/>
  <c r="W15" i="32"/>
  <c r="W95" i="32"/>
  <c r="W175" i="32"/>
  <c r="W80" i="32"/>
  <c r="W96" i="32"/>
  <c r="W176" i="32"/>
  <c r="W49" i="32"/>
  <c r="W97" i="32"/>
  <c r="W177" i="32"/>
  <c r="W50" i="32"/>
  <c r="W98" i="32"/>
  <c r="W178" i="32"/>
  <c r="W83" i="32"/>
  <c r="W131" i="32"/>
  <c r="W20" i="32"/>
  <c r="W100" i="32"/>
  <c r="W37" i="32"/>
  <c r="W117" i="32"/>
  <c r="W181" i="32"/>
  <c r="W134" i="32"/>
  <c r="W24" i="32"/>
  <c r="W40" i="32"/>
  <c r="W56" i="32"/>
  <c r="W72" i="32"/>
  <c r="W88" i="32"/>
  <c r="W104" i="32"/>
  <c r="W120" i="32"/>
  <c r="W136" i="32"/>
  <c r="W152" i="32"/>
  <c r="W168" i="32"/>
  <c r="W184" i="32"/>
  <c r="W10" i="32"/>
  <c r="W122" i="32"/>
  <c r="W154" i="32"/>
  <c r="W27" i="32"/>
  <c r="W59" i="32"/>
  <c r="W107" i="32"/>
  <c r="W139" i="32"/>
  <c r="W8" i="32"/>
  <c r="W28" i="32"/>
  <c r="W60" i="32"/>
  <c r="W108" i="32"/>
  <c r="W156" i="32"/>
  <c r="W7" i="32"/>
  <c r="W45" i="32"/>
  <c r="W77" i="32"/>
  <c r="W125" i="32"/>
  <c r="W157" i="32"/>
  <c r="W14" i="32"/>
  <c r="W63" i="32"/>
  <c r="W127" i="32"/>
  <c r="W16" i="32"/>
  <c r="W144" i="32"/>
  <c r="W65" i="32"/>
  <c r="W145" i="32"/>
  <c r="W34" i="32"/>
  <c r="W130" i="32"/>
  <c r="W19" i="32"/>
  <c r="W99" i="32"/>
  <c r="W179" i="32"/>
  <c r="W84" i="32"/>
  <c r="W148" i="32"/>
  <c r="W21" i="32"/>
  <c r="W149" i="32"/>
  <c r="W38" i="32"/>
  <c r="W182" i="32"/>
  <c r="W9" i="32"/>
  <c r="W25" i="32"/>
  <c r="W41" i="32"/>
  <c r="W57" i="32"/>
  <c r="W73" i="32"/>
  <c r="W89" i="32"/>
  <c r="W105" i="32"/>
  <c r="W121" i="32"/>
  <c r="W137" i="32"/>
  <c r="W153" i="32"/>
  <c r="W169" i="32"/>
  <c r="W185" i="32"/>
  <c r="W26" i="32"/>
  <c r="W58" i="32"/>
  <c r="W106" i="32"/>
  <c r="W170" i="32"/>
  <c r="W43" i="32"/>
  <c r="W75" i="32"/>
  <c r="W91" i="32"/>
  <c r="W123" i="32"/>
  <c r="W155" i="32"/>
  <c r="W12" i="32"/>
  <c r="W44" i="32"/>
  <c r="W76" i="32"/>
  <c r="W124" i="32"/>
  <c r="W172" i="32"/>
  <c r="W13" i="32"/>
  <c r="W61" i="32"/>
  <c r="W141" i="32"/>
  <c r="W62" i="32"/>
  <c r="W110" i="32"/>
  <c r="W111" i="32"/>
  <c r="W32" i="32"/>
  <c r="W160" i="32"/>
  <c r="W81" i="32"/>
  <c r="W161" i="32"/>
  <c r="W162" i="32"/>
  <c r="W67" i="32"/>
  <c r="W163" i="32"/>
  <c r="W68" i="32"/>
  <c r="W164" i="32"/>
  <c r="W85" i="32"/>
  <c r="W70" i="32"/>
  <c r="W74" i="32"/>
  <c r="W109" i="32"/>
  <c r="W142" i="32"/>
  <c r="W47" i="32"/>
  <c r="W143" i="32"/>
  <c r="W64" i="32"/>
  <c r="W112" i="32"/>
  <c r="W17" i="32"/>
  <c r="W129" i="32"/>
  <c r="W82" i="32"/>
  <c r="W146" i="32"/>
  <c r="W51" i="32"/>
  <c r="W147" i="32"/>
  <c r="W36" i="32"/>
  <c r="W132" i="32"/>
  <c r="W53" i="32"/>
  <c r="W101" i="32"/>
  <c r="W165" i="32"/>
  <c r="W22" i="32"/>
  <c r="W118" i="32"/>
  <c r="W11" i="32"/>
  <c r="W171" i="32"/>
  <c r="W92" i="32"/>
  <c r="W140" i="32"/>
  <c r="W29" i="32"/>
  <c r="W93" i="32"/>
  <c r="W173" i="32"/>
  <c r="W46" i="32"/>
  <c r="W31" i="32"/>
  <c r="W79" i="32"/>
  <c r="W159" i="32"/>
  <c r="W48" i="32"/>
  <c r="W128" i="32"/>
  <c r="W33" i="32"/>
  <c r="W113" i="32"/>
  <c r="W35" i="32"/>
  <c r="W115" i="32"/>
  <c r="W52" i="32"/>
  <c r="W116" i="32"/>
  <c r="W180" i="32"/>
  <c r="W69" i="32"/>
  <c r="W133" i="32"/>
  <c r="W86" i="32"/>
  <c r="W166" i="32"/>
  <c r="R54" i="33"/>
  <c r="S54" i="33" s="1"/>
  <c r="C7" i="29"/>
  <c r="C9" i="40" s="1"/>
  <c r="F22" i="27"/>
  <c r="AH118" i="32" l="1"/>
  <c r="AI119" i="32" s="1"/>
  <c r="AH86" i="32"/>
  <c r="AI87" i="32" s="1"/>
  <c r="AH134" i="32"/>
  <c r="AI135" i="32" s="1"/>
  <c r="AH70" i="32"/>
  <c r="AI71" i="32" s="1"/>
  <c r="AH38" i="32"/>
  <c r="AI39" i="32" s="1"/>
  <c r="AH144" i="32"/>
  <c r="AI145" i="32" s="1"/>
  <c r="AH166" i="32"/>
  <c r="AI167" i="32" s="1"/>
  <c r="AH170" i="32"/>
  <c r="AI171" i="32" s="1"/>
  <c r="AH15" i="32"/>
  <c r="AI16" i="32" s="1"/>
  <c r="AH100" i="32"/>
  <c r="AI101" i="32" s="1"/>
  <c r="AH67" i="32"/>
  <c r="AI68" i="32" s="1"/>
  <c r="AH49" i="32"/>
  <c r="AI50" i="32" s="1"/>
  <c r="AH176" i="32"/>
  <c r="AI177" i="32" s="1"/>
  <c r="AH112" i="32"/>
  <c r="AI113" i="32" s="1"/>
  <c r="AH58" i="32"/>
  <c r="AI59" i="32" s="1"/>
  <c r="AH10" i="32"/>
  <c r="AI11" i="32" s="1"/>
  <c r="AH175" i="32"/>
  <c r="AI176" i="32" s="1"/>
  <c r="AH165" i="32"/>
  <c r="AI166" i="32" s="1"/>
  <c r="AH180" i="32"/>
  <c r="AI181" i="32" s="1"/>
  <c r="AH52" i="32"/>
  <c r="AI53" i="32" s="1"/>
  <c r="AH161" i="32"/>
  <c r="AI162" i="32" s="1"/>
  <c r="AH128" i="32"/>
  <c r="AI129" i="32" s="1"/>
  <c r="AH159" i="32"/>
  <c r="AI160" i="32" s="1"/>
  <c r="AH62" i="32"/>
  <c r="AI63" i="32" s="1"/>
  <c r="AH173" i="32"/>
  <c r="AI174" i="32" s="1"/>
  <c r="AH95" i="32"/>
  <c r="AI96" i="32" s="1"/>
  <c r="AH141" i="32"/>
  <c r="AI142" i="32" s="1"/>
  <c r="AH93" i="32"/>
  <c r="AI94" i="32" s="1"/>
  <c r="AH107" i="32"/>
  <c r="AI108" i="32" s="1"/>
  <c r="AH91" i="32"/>
  <c r="AI92" i="32" s="1"/>
  <c r="AH115" i="32"/>
  <c r="AI116" i="32" s="1"/>
  <c r="AH75" i="32"/>
  <c r="AI76" i="32" s="1"/>
  <c r="AH19" i="32"/>
  <c r="AI20" i="32" s="1"/>
  <c r="AH43" i="32"/>
  <c r="AI44" i="32" s="1"/>
  <c r="AH129" i="32"/>
  <c r="AI130" i="32" s="1"/>
  <c r="AH11" i="32"/>
  <c r="AI12" i="32" s="1"/>
  <c r="AH169" i="32"/>
  <c r="AI170" i="32" s="1"/>
  <c r="AH153" i="32"/>
  <c r="AI154" i="32" s="1"/>
  <c r="AH158" i="32"/>
  <c r="AI159" i="32" s="1"/>
  <c r="AH137" i="32"/>
  <c r="AI138" i="32" s="1"/>
  <c r="AH125" i="32"/>
  <c r="AI126" i="32" s="1"/>
  <c r="AH73" i="32"/>
  <c r="AI74" i="32" s="1"/>
  <c r="AH59" i="32"/>
  <c r="AI60" i="32" s="1"/>
  <c r="AH41" i="32"/>
  <c r="AI42" i="32" s="1"/>
  <c r="AH25" i="32"/>
  <c r="AI26" i="32" s="1"/>
  <c r="AH57" i="32"/>
  <c r="AI58" i="32" s="1"/>
  <c r="AH164" i="32"/>
  <c r="AI165" i="32" s="1"/>
  <c r="AH101" i="32"/>
  <c r="AI102" i="32" s="1"/>
  <c r="AH99" i="32"/>
  <c r="AI100" i="32" s="1"/>
  <c r="AH163" i="32"/>
  <c r="AI164" i="32" s="1"/>
  <c r="AH133" i="32"/>
  <c r="AI134" i="32" s="1"/>
  <c r="AH146" i="32"/>
  <c r="AI147" i="32" s="1"/>
  <c r="AH69" i="32"/>
  <c r="AI70" i="32" s="1"/>
  <c r="AH148" i="32"/>
  <c r="AI149" i="32" s="1"/>
  <c r="AH48" i="32"/>
  <c r="AI49" i="32" s="1"/>
  <c r="AH98" i="32"/>
  <c r="AI99" i="32" s="1"/>
  <c r="AH84" i="32"/>
  <c r="AI85" i="32" s="1"/>
  <c r="AH16" i="32"/>
  <c r="AI17" i="32" s="1"/>
  <c r="AH113" i="32"/>
  <c r="AI114" i="32" s="1"/>
  <c r="AH111" i="32"/>
  <c r="AI112" i="32" s="1"/>
  <c r="AH14" i="32"/>
  <c r="AI15" i="32" s="1"/>
  <c r="AH34" i="32"/>
  <c r="AI35" i="32" s="1"/>
  <c r="AH65" i="32"/>
  <c r="AI66" i="32" s="1"/>
  <c r="AH45" i="32"/>
  <c r="AI46" i="32" s="1"/>
  <c r="AH77" i="32"/>
  <c r="AI78" i="32" s="1"/>
  <c r="AH64" i="32"/>
  <c r="AI65" i="32" s="1"/>
  <c r="AH124" i="32"/>
  <c r="AI125" i="32" s="1"/>
  <c r="AH60" i="32"/>
  <c r="AI61" i="32" s="1"/>
  <c r="AH29" i="32"/>
  <c r="AI30" i="32" s="1"/>
  <c r="G19" i="50"/>
  <c r="AH76" i="32"/>
  <c r="AI77" i="32" s="1"/>
  <c r="AH7" i="32"/>
  <c r="AI8" i="32" s="1"/>
  <c r="AH130" i="32"/>
  <c r="AI131" i="32" s="1"/>
  <c r="AH135" i="32"/>
  <c r="AI136" i="32" s="1"/>
  <c r="AH160" i="32"/>
  <c r="AI161" i="32" s="1"/>
  <c r="AH167" i="32"/>
  <c r="AI168" i="32" s="1"/>
  <c r="AH154" i="32"/>
  <c r="AI155" i="32" s="1"/>
  <c r="AH155" i="32"/>
  <c r="AI156" i="32" s="1"/>
  <c r="AH31" i="32"/>
  <c r="AI32" i="32" s="1"/>
  <c r="AH122" i="32"/>
  <c r="AI123" i="32" s="1"/>
  <c r="AH123" i="32"/>
  <c r="AI124" i="32" s="1"/>
  <c r="AH109" i="32"/>
  <c r="AI110" i="32" s="1"/>
  <c r="AH108" i="32"/>
  <c r="AI109" i="32" s="1"/>
  <c r="AH85" i="32"/>
  <c r="AI86" i="32" s="1"/>
  <c r="AH81" i="32"/>
  <c r="AI82" i="32" s="1"/>
  <c r="AH83" i="32"/>
  <c r="AI84" i="32" s="1"/>
  <c r="AH185" i="32"/>
  <c r="AI186" i="32" s="1"/>
  <c r="AH20" i="32"/>
  <c r="AI21" i="32" s="1"/>
  <c r="AH131" i="32"/>
  <c r="AI132" i="32" s="1"/>
  <c r="AH178" i="32"/>
  <c r="AI179" i="32" s="1"/>
  <c r="AH32" i="32"/>
  <c r="AI33" i="32" s="1"/>
  <c r="AH96" i="32"/>
  <c r="AI97" i="32" s="1"/>
  <c r="AH89" i="32"/>
  <c r="AI90" i="32" s="1"/>
  <c r="AH184" i="32"/>
  <c r="AI185" i="32" s="1"/>
  <c r="AH145" i="32"/>
  <c r="AI146" i="32" s="1"/>
  <c r="AH17" i="32"/>
  <c r="AI18" i="32" s="1"/>
  <c r="AH79" i="32"/>
  <c r="AI80" i="32" s="1"/>
  <c r="AH12" i="32"/>
  <c r="AI13" i="32" s="1"/>
  <c r="AH183" i="32"/>
  <c r="AI184" i="32" s="1"/>
  <c r="AH156" i="32"/>
  <c r="AI157" i="32" s="1"/>
  <c r="AH132" i="32"/>
  <c r="AI133" i="32" s="1"/>
  <c r="AH22" i="32"/>
  <c r="AI23" i="32" s="1"/>
  <c r="AH127" i="32"/>
  <c r="AI128" i="32" s="1"/>
  <c r="AH181" i="32"/>
  <c r="AI182" i="32" s="1"/>
  <c r="AH106" i="32"/>
  <c r="AI107" i="32" s="1"/>
  <c r="AH172" i="32"/>
  <c r="AI173" i="32" s="1"/>
  <c r="AH68" i="32"/>
  <c r="AI69" i="32" s="1"/>
  <c r="AH142" i="32"/>
  <c r="AI143" i="32" s="1"/>
  <c r="AH21" i="32"/>
  <c r="AI22" i="32" s="1"/>
  <c r="AH74" i="32"/>
  <c r="AI75" i="32" s="1"/>
  <c r="AH140" i="32"/>
  <c r="AI141" i="32" s="1"/>
  <c r="AH179" i="32"/>
  <c r="AI180" i="32" s="1"/>
  <c r="AH61" i="32"/>
  <c r="AI62" i="32" s="1"/>
  <c r="AH152" i="32"/>
  <c r="AI153" i="32" s="1"/>
  <c r="AH120" i="32"/>
  <c r="AI121" i="32" s="1"/>
  <c r="AH72" i="32"/>
  <c r="AI73" i="32" s="1"/>
  <c r="AH27" i="32"/>
  <c r="AI28" i="32" s="1"/>
  <c r="AH110" i="32"/>
  <c r="AI111" i="32" s="1"/>
  <c r="AH151" i="32"/>
  <c r="AI152" i="32" s="1"/>
  <c r="AH82" i="32"/>
  <c r="AI83" i="32" s="1"/>
  <c r="AH44" i="32"/>
  <c r="AI45" i="32" s="1"/>
  <c r="AH47" i="32"/>
  <c r="AI48" i="32" s="1"/>
  <c r="AH121" i="32"/>
  <c r="AI122" i="32" s="1"/>
  <c r="AH8" i="32"/>
  <c r="AI9" i="32" s="1"/>
  <c r="AH119" i="32"/>
  <c r="AI120" i="32" s="1"/>
  <c r="AH53" i="32"/>
  <c r="AI54" i="32" s="1"/>
  <c r="AH139" i="32"/>
  <c r="AI140" i="32" s="1"/>
  <c r="AH94" i="32"/>
  <c r="AI95" i="32" s="1"/>
  <c r="AH105" i="32"/>
  <c r="AI106" i="32" s="1"/>
  <c r="AH149" i="32"/>
  <c r="AI150" i="32" s="1"/>
  <c r="AH23" i="32"/>
  <c r="AI24" i="32" s="1"/>
  <c r="AH40" i="32"/>
  <c r="AI41" i="32" s="1"/>
  <c r="AH182" i="32"/>
  <c r="AI183" i="32" s="1"/>
  <c r="E31" i="27"/>
  <c r="E32" i="27" s="1"/>
  <c r="E33" i="27" s="1"/>
  <c r="E34" i="27" s="1"/>
  <c r="E35" i="27" s="1"/>
  <c r="E36" i="27" s="1"/>
  <c r="AH39" i="32"/>
  <c r="AI40" i="32" s="1"/>
  <c r="AH104" i="32"/>
  <c r="AI105" i="32" s="1"/>
  <c r="AH24" i="32"/>
  <c r="AI25" i="32" s="1"/>
  <c r="AH103" i="32"/>
  <c r="AI104" i="32" s="1"/>
  <c r="AH87" i="32"/>
  <c r="AI88" i="32" s="1"/>
  <c r="AH162" i="32"/>
  <c r="AI163" i="32" s="1"/>
  <c r="AH26" i="32"/>
  <c r="AI27" i="32" s="1"/>
  <c r="AH13" i="32"/>
  <c r="AI14" i="32" s="1"/>
  <c r="AH9" i="32"/>
  <c r="AI10" i="32" s="1"/>
  <c r="AH51" i="32"/>
  <c r="AI52" i="32" s="1"/>
  <c r="AH71" i="32"/>
  <c r="AI72" i="32" s="1"/>
  <c r="AH37" i="32"/>
  <c r="AI38" i="32" s="1"/>
  <c r="AH117" i="32"/>
  <c r="AI118" i="32" s="1"/>
  <c r="AH116" i="32"/>
  <c r="AI117" i="32" s="1"/>
  <c r="AH46" i="32"/>
  <c r="AI47" i="32" s="1"/>
  <c r="AH36" i="32"/>
  <c r="AI37" i="32" s="1"/>
  <c r="AH157" i="32"/>
  <c r="AI158" i="32" s="1"/>
  <c r="AH147" i="32"/>
  <c r="AI148" i="32" s="1"/>
  <c r="AH35" i="32"/>
  <c r="AI36" i="32" s="1"/>
  <c r="AH50" i="32"/>
  <c r="AI51" i="32" s="1"/>
  <c r="AH177" i="32"/>
  <c r="AI178" i="32" s="1"/>
  <c r="AH97" i="32"/>
  <c r="AI98" i="32" s="1"/>
  <c r="AH33" i="32"/>
  <c r="AI34" i="32" s="1"/>
  <c r="AH80" i="32"/>
  <c r="AI81" i="32" s="1"/>
  <c r="AH143" i="32"/>
  <c r="AI144" i="32" s="1"/>
  <c r="AH63" i="32"/>
  <c r="AI64" i="32" s="1"/>
  <c r="AH92" i="32"/>
  <c r="AI93" i="32" s="1"/>
  <c r="C16" i="29"/>
  <c r="C17" i="40" s="1"/>
  <c r="AH28" i="32"/>
  <c r="AI29" i="32" s="1"/>
  <c r="AH171" i="32"/>
  <c r="AI172" i="32" s="1"/>
  <c r="AH168" i="32"/>
  <c r="AI169" i="32" s="1"/>
  <c r="AH136" i="32"/>
  <c r="AI137" i="32" s="1"/>
  <c r="AH55" i="32"/>
  <c r="AI56" i="32" s="1"/>
  <c r="AH88" i="32"/>
  <c r="AI89" i="32" s="1"/>
  <c r="AH247" i="32"/>
  <c r="AH187" i="32"/>
  <c r="AI188" i="32" s="1"/>
  <c r="AH188" i="32"/>
  <c r="AI189" i="32" s="1"/>
  <c r="AH189" i="32"/>
  <c r="AI190" i="32" s="1"/>
  <c r="AH190" i="32"/>
  <c r="AI191" i="32" s="1"/>
  <c r="AH191" i="32"/>
  <c r="AI192" i="32" s="1"/>
  <c r="AH192" i="32"/>
  <c r="AI193" i="32" s="1"/>
  <c r="AH193" i="32"/>
  <c r="AI194" i="32" s="1"/>
  <c r="AH194" i="32"/>
  <c r="AI195" i="32" s="1"/>
  <c r="AH195" i="32"/>
  <c r="AI196" i="32" s="1"/>
  <c r="AH196" i="32"/>
  <c r="AI197" i="32" s="1"/>
  <c r="AH197" i="32"/>
  <c r="AI198" i="32" s="1"/>
  <c r="AH198" i="32"/>
  <c r="AI199" i="32" s="1"/>
  <c r="AH199" i="32"/>
  <c r="AI200" i="32" s="1"/>
  <c r="AH200" i="32"/>
  <c r="AI201" i="32" s="1"/>
  <c r="AH201" i="32"/>
  <c r="AI202" i="32" s="1"/>
  <c r="AH202" i="32"/>
  <c r="AI203" i="32" s="1"/>
  <c r="AH203" i="32"/>
  <c r="AI204" i="32" s="1"/>
  <c r="AH204" i="32"/>
  <c r="AI205" i="32" s="1"/>
  <c r="AH205" i="32"/>
  <c r="AI206" i="32" s="1"/>
  <c r="AH206" i="32"/>
  <c r="AI207" i="32" s="1"/>
  <c r="AH207" i="32"/>
  <c r="AI208" i="32" s="1"/>
  <c r="AH208" i="32"/>
  <c r="AI209" i="32" s="1"/>
  <c r="AH209" i="32"/>
  <c r="AI210" i="32" s="1"/>
  <c r="AH210" i="32"/>
  <c r="AI211" i="32" s="1"/>
  <c r="AH211" i="32"/>
  <c r="AI212" i="32" s="1"/>
  <c r="AH212" i="32"/>
  <c r="AI213" i="32" s="1"/>
  <c r="AH213" i="32"/>
  <c r="AI214" i="32" s="1"/>
  <c r="AH214" i="32"/>
  <c r="AI215" i="32" s="1"/>
  <c r="AH215" i="32"/>
  <c r="AI216" i="32" s="1"/>
  <c r="AH216" i="32"/>
  <c r="AI217" i="32" s="1"/>
  <c r="AH217" i="32"/>
  <c r="AI218" i="32" s="1"/>
  <c r="AH218" i="32"/>
  <c r="AI219" i="32" s="1"/>
  <c r="AH219" i="32"/>
  <c r="AI220" i="32" s="1"/>
  <c r="AH220" i="32"/>
  <c r="AI221" i="32" s="1"/>
  <c r="AH221" i="32"/>
  <c r="AI222" i="32" s="1"/>
  <c r="AH222" i="32"/>
  <c r="AI223" i="32" s="1"/>
  <c r="AH223" i="32"/>
  <c r="AI224" i="32" s="1"/>
  <c r="AH224" i="32"/>
  <c r="AI225" i="32" s="1"/>
  <c r="AH225" i="32"/>
  <c r="AI226" i="32" s="1"/>
  <c r="AH226" i="32"/>
  <c r="AI227" i="32" s="1"/>
  <c r="AH227" i="32"/>
  <c r="AI228" i="32" s="1"/>
  <c r="AH228" i="32"/>
  <c r="AI229" i="32" s="1"/>
  <c r="AH229" i="32"/>
  <c r="AI230" i="32" s="1"/>
  <c r="AH230" i="32"/>
  <c r="AI231" i="32" s="1"/>
  <c r="AH231" i="32"/>
  <c r="AI232" i="32" s="1"/>
  <c r="AH232" i="32"/>
  <c r="AI233" i="32" s="1"/>
  <c r="AH233" i="32"/>
  <c r="AI234" i="32" s="1"/>
  <c r="AH234" i="32"/>
  <c r="AI235" i="32" s="1"/>
  <c r="AH235" i="32"/>
  <c r="AI236" i="32" s="1"/>
  <c r="AH236" i="32"/>
  <c r="AI237" i="32" s="1"/>
  <c r="AH237" i="32"/>
  <c r="AI238" i="32" s="1"/>
  <c r="AH238" i="32"/>
  <c r="AI239" i="32" s="1"/>
  <c r="AH239" i="32"/>
  <c r="AI240" i="32" s="1"/>
  <c r="AH240" i="32"/>
  <c r="AI241" i="32" s="1"/>
  <c r="AH241" i="32"/>
  <c r="AI242" i="32" s="1"/>
  <c r="AH242" i="32"/>
  <c r="AI243" i="32" s="1"/>
  <c r="AH243" i="32"/>
  <c r="AI244" i="32" s="1"/>
  <c r="AH244" i="32"/>
  <c r="AI245" i="32" s="1"/>
  <c r="AH245" i="32"/>
  <c r="AI246" i="32" s="1"/>
  <c r="AH246" i="32"/>
  <c r="AI247" i="32" s="1"/>
  <c r="J54" i="33"/>
  <c r="K54" i="33" s="1"/>
  <c r="R53" i="33"/>
  <c r="S53" i="33" s="1"/>
  <c r="F23" i="27"/>
  <c r="C20" i="40" l="1"/>
  <c r="N4" i="32"/>
  <c r="N138" i="32" s="1"/>
  <c r="E37" i="27"/>
  <c r="E38" i="27" s="1"/>
  <c r="E39" i="27" s="1"/>
  <c r="E40" i="27" s="1"/>
  <c r="E41" i="27" s="1"/>
  <c r="E42" i="27" s="1"/>
  <c r="E43" i="27" s="1"/>
  <c r="E44" i="27" s="1"/>
  <c r="E45" i="27" s="1"/>
  <c r="E46" i="27" s="1"/>
  <c r="E47" i="27" s="1"/>
  <c r="E48" i="27" s="1"/>
  <c r="E49" i="27" s="1"/>
  <c r="E50" i="27" s="1"/>
  <c r="E51" i="27" s="1"/>
  <c r="E52" i="27" s="1"/>
  <c r="E53" i="27" s="1"/>
  <c r="E54" i="27" s="1"/>
  <c r="E55" i="27" s="1"/>
  <c r="E56" i="27" s="1"/>
  <c r="E57" i="27" s="1"/>
  <c r="E58" i="27" s="1"/>
  <c r="E59" i="27" s="1"/>
  <c r="E60" i="27" s="1"/>
  <c r="E61" i="27" s="1"/>
  <c r="E62" i="27" s="1"/>
  <c r="E63" i="27" s="1"/>
  <c r="C24" i="30"/>
  <c r="C25" i="30" s="1"/>
  <c r="J53" i="33"/>
  <c r="K53" i="33" s="1"/>
  <c r="R52" i="33"/>
  <c r="S52" i="33" s="1"/>
  <c r="F26" i="27"/>
  <c r="F12" i="19"/>
  <c r="F24" i="27"/>
  <c r="F25" i="27"/>
  <c r="F11" i="19"/>
  <c r="E64" i="27" l="1"/>
  <c r="E65" i="27" s="1"/>
  <c r="E66" i="27" s="1"/>
  <c r="E67" i="27" s="1"/>
  <c r="E68" i="27" s="1"/>
  <c r="E69" i="27" s="1"/>
  <c r="E70" i="27" s="1"/>
  <c r="E71" i="27" s="1"/>
  <c r="E72" i="27" s="1"/>
  <c r="E73" i="27" s="1"/>
  <c r="E74" i="27" s="1"/>
  <c r="E75" i="27" s="1"/>
  <c r="J52" i="33"/>
  <c r="K52" i="33" s="1"/>
  <c r="R51" i="33"/>
  <c r="S51" i="33" s="1"/>
  <c r="F13" i="19"/>
  <c r="F29" i="27"/>
  <c r="F27" i="27"/>
  <c r="J51" i="33" l="1"/>
  <c r="K51" i="33" s="1"/>
  <c r="R50" i="33"/>
  <c r="S50" i="33" s="1"/>
  <c r="F28" i="27"/>
  <c r="F14" i="19"/>
  <c r="J50" i="33" l="1"/>
  <c r="K50" i="33" s="1"/>
  <c r="R49" i="33"/>
  <c r="S49" i="33" s="1"/>
  <c r="F30" i="27"/>
  <c r="F15" i="19"/>
  <c r="J49" i="33" l="1"/>
  <c r="K49" i="33" s="1"/>
  <c r="R48" i="33"/>
  <c r="S48" i="33" s="1"/>
  <c r="F31" i="27"/>
  <c r="F16" i="19"/>
  <c r="F32" i="27"/>
  <c r="J48" i="33" l="1"/>
  <c r="K48" i="33" s="1"/>
  <c r="R47" i="33"/>
  <c r="S47" i="33" s="1"/>
  <c r="F33" i="27"/>
  <c r="F17" i="19"/>
  <c r="J47" i="33" l="1"/>
  <c r="K47" i="33" s="1"/>
  <c r="R46" i="33"/>
  <c r="S46" i="33" s="1"/>
  <c r="F34" i="27"/>
  <c r="F18" i="19"/>
  <c r="J46" i="33" l="1"/>
  <c r="K46" i="33" s="1"/>
  <c r="R45" i="33"/>
  <c r="S45" i="33" s="1"/>
  <c r="F35" i="27"/>
  <c r="J45" i="33" l="1"/>
  <c r="K45" i="33" s="1"/>
  <c r="R44" i="33"/>
  <c r="S44" i="33" s="1"/>
  <c r="F20" i="19"/>
  <c r="F19" i="19"/>
  <c r="F36" i="27"/>
  <c r="J44" i="33" l="1"/>
  <c r="K44" i="33" s="1"/>
  <c r="R43" i="33"/>
  <c r="S43" i="33" s="1"/>
  <c r="F37" i="27"/>
  <c r="J43" i="33" l="1"/>
  <c r="K43" i="33" s="1"/>
  <c r="R42" i="33"/>
  <c r="S42" i="33" s="1"/>
  <c r="F21" i="19"/>
  <c r="F22" i="19"/>
  <c r="F23" i="19"/>
  <c r="J42" i="33" l="1"/>
  <c r="K42" i="33" s="1"/>
  <c r="R41" i="33"/>
  <c r="S41" i="33" s="1"/>
  <c r="F38" i="27"/>
  <c r="F24" i="19"/>
  <c r="F39" i="27"/>
  <c r="J41" i="33" l="1"/>
  <c r="K41" i="33" s="1"/>
  <c r="R40" i="33"/>
  <c r="S40" i="33" s="1"/>
  <c r="F25" i="19"/>
  <c r="F40" i="27"/>
  <c r="J40" i="33" l="1"/>
  <c r="K40" i="33" s="1"/>
  <c r="R39" i="33"/>
  <c r="S39" i="33" s="1"/>
  <c r="F26" i="19"/>
  <c r="F41" i="27"/>
  <c r="J39" i="33" l="1"/>
  <c r="K39" i="33" s="1"/>
  <c r="R38" i="33"/>
  <c r="S38" i="33" s="1"/>
  <c r="F27" i="19"/>
  <c r="F42" i="27"/>
  <c r="J38" i="33" l="1"/>
  <c r="K38" i="33" s="1"/>
  <c r="R37" i="33"/>
  <c r="S37" i="33" s="1"/>
  <c r="F28" i="19"/>
  <c r="F43" i="27"/>
  <c r="J37" i="33" l="1"/>
  <c r="K37" i="33" s="1"/>
  <c r="R36" i="33"/>
  <c r="S36" i="33" s="1"/>
  <c r="F29" i="19"/>
  <c r="F44" i="27"/>
  <c r="F30" i="19" l="1"/>
  <c r="J36" i="33"/>
  <c r="K36" i="33" s="1"/>
  <c r="R35" i="33"/>
  <c r="S35" i="33" s="1"/>
  <c r="F45" i="27"/>
  <c r="F31" i="19" l="1"/>
  <c r="J35" i="33"/>
  <c r="K35" i="33" s="1"/>
  <c r="R34" i="33"/>
  <c r="S34" i="33" s="1"/>
  <c r="F46" i="27"/>
  <c r="F32" i="19" l="1"/>
  <c r="J34" i="33"/>
  <c r="K34" i="33" s="1"/>
  <c r="R33" i="33"/>
  <c r="S33" i="33" s="1"/>
  <c r="F47" i="27"/>
  <c r="F33" i="19" l="1"/>
  <c r="J33" i="33"/>
  <c r="K33" i="33" s="1"/>
  <c r="R32" i="33"/>
  <c r="S32" i="33" s="1"/>
  <c r="F48" i="27"/>
  <c r="F34" i="19" l="1"/>
  <c r="J32" i="33"/>
  <c r="K32" i="33" s="1"/>
  <c r="R31" i="33"/>
  <c r="S31" i="33" s="1"/>
  <c r="F35" i="19"/>
  <c r="F49" i="27"/>
  <c r="J31" i="33" l="1"/>
  <c r="K31" i="33" s="1"/>
  <c r="R30" i="33"/>
  <c r="S30" i="33" s="1"/>
  <c r="F36" i="19"/>
  <c r="J30" i="33" l="1"/>
  <c r="K30" i="33" s="1"/>
  <c r="R29" i="33"/>
  <c r="S29" i="33" s="1"/>
  <c r="F50" i="27"/>
  <c r="F37" i="19"/>
  <c r="J29" i="33" l="1"/>
  <c r="K29" i="33" s="1"/>
  <c r="R28" i="33"/>
  <c r="S28" i="33" s="1"/>
  <c r="F38" i="19"/>
  <c r="F51" i="27"/>
  <c r="F52" i="27"/>
  <c r="J28" i="33" l="1"/>
  <c r="K28" i="33" s="1"/>
  <c r="R27" i="33"/>
  <c r="S27" i="33" s="1"/>
  <c r="F39" i="19"/>
  <c r="F53" i="27"/>
  <c r="J27" i="33" l="1"/>
  <c r="K27" i="33" s="1"/>
  <c r="R26" i="33"/>
  <c r="S26" i="33" s="1"/>
  <c r="F40" i="19"/>
  <c r="F54" i="27"/>
  <c r="J26" i="33" l="1"/>
  <c r="K26" i="33" s="1"/>
  <c r="R25" i="33"/>
  <c r="S25" i="33" s="1"/>
  <c r="F41" i="19"/>
  <c r="F55" i="27"/>
  <c r="J24" i="33" l="1"/>
  <c r="K24" i="33" s="1"/>
  <c r="J25" i="33"/>
  <c r="K25" i="33" s="1"/>
  <c r="R24" i="33"/>
  <c r="S24" i="33" s="1"/>
  <c r="F42" i="19"/>
  <c r="F56" i="27"/>
  <c r="J23" i="33" l="1"/>
  <c r="K23" i="33" s="1"/>
  <c r="R23" i="33"/>
  <c r="S23" i="33" s="1"/>
  <c r="F43" i="19"/>
  <c r="F57" i="27"/>
  <c r="J22" i="33" l="1"/>
  <c r="K22" i="33" s="1"/>
  <c r="R22" i="33"/>
  <c r="S22" i="33" s="1"/>
  <c r="F44" i="19"/>
  <c r="F58" i="27"/>
  <c r="J21" i="33" l="1"/>
  <c r="K21" i="33" s="1"/>
  <c r="R21" i="33"/>
  <c r="S21" i="33" s="1"/>
  <c r="F45" i="19"/>
  <c r="F59" i="27"/>
  <c r="J20" i="33" l="1"/>
  <c r="K20" i="33" s="1"/>
  <c r="R20" i="33"/>
  <c r="S20" i="33" s="1"/>
  <c r="F46" i="19"/>
  <c r="F60" i="27"/>
  <c r="J19" i="33" l="1"/>
  <c r="K19" i="33" s="1"/>
  <c r="R19" i="33"/>
  <c r="S19" i="33" s="1"/>
  <c r="F47" i="19"/>
  <c r="F61" i="27"/>
  <c r="J18" i="33" l="1"/>
  <c r="K18" i="33" s="1"/>
  <c r="R18" i="33"/>
  <c r="S18" i="33" s="1"/>
  <c r="F48" i="19"/>
  <c r="F62" i="27"/>
  <c r="J17" i="33" l="1"/>
  <c r="K17" i="33" s="1"/>
  <c r="R17" i="33"/>
  <c r="S17" i="33" s="1"/>
  <c r="F49" i="19"/>
  <c r="F63" i="27"/>
  <c r="J16" i="33" l="1"/>
  <c r="K16" i="33" s="1"/>
  <c r="R16" i="33"/>
  <c r="S16" i="33" s="1"/>
  <c r="F50" i="19"/>
  <c r="F64" i="27"/>
  <c r="J15" i="33" l="1"/>
  <c r="K15" i="33" s="1"/>
  <c r="R15" i="33"/>
  <c r="S15" i="33" s="1"/>
  <c r="F51" i="19"/>
  <c r="F65" i="27"/>
  <c r="J14" i="33" l="1"/>
  <c r="K14" i="33" s="1"/>
  <c r="R14" i="33"/>
  <c r="S14" i="33" s="1"/>
  <c r="F52" i="19"/>
  <c r="F66" i="27"/>
  <c r="J13" i="33" l="1"/>
  <c r="K13" i="33" s="1"/>
  <c r="R13" i="33"/>
  <c r="S13" i="33" s="1"/>
  <c r="F53" i="19"/>
  <c r="F67" i="27"/>
  <c r="J12" i="33" l="1"/>
  <c r="K12" i="33" s="1"/>
  <c r="R12" i="33"/>
  <c r="S12" i="33" s="1"/>
  <c r="F54" i="19"/>
  <c r="F68" i="27"/>
  <c r="J11" i="33" l="1"/>
  <c r="K11" i="33" s="1"/>
  <c r="R11" i="33"/>
  <c r="S11" i="33" s="1"/>
  <c r="F55" i="19"/>
  <c r="F69" i="27"/>
  <c r="J10" i="33" l="1"/>
  <c r="K10" i="33" s="1"/>
  <c r="R10" i="33"/>
  <c r="S10" i="33" s="1"/>
  <c r="F56" i="19"/>
  <c r="F70" i="27"/>
  <c r="J9" i="33" l="1"/>
  <c r="K9" i="33" s="1"/>
  <c r="R9" i="33"/>
  <c r="S9" i="33" s="1"/>
  <c r="F57" i="19"/>
  <c r="F71" i="27"/>
  <c r="J8" i="33" l="1"/>
  <c r="K8" i="33" s="1"/>
  <c r="R8" i="33"/>
  <c r="S8" i="33" s="1"/>
  <c r="F58" i="19"/>
  <c r="F72" i="27"/>
  <c r="J7" i="33" l="1"/>
  <c r="K7" i="33" s="1"/>
  <c r="R7" i="33"/>
  <c r="S7" i="33" s="1"/>
  <c r="F59" i="19"/>
  <c r="F73" i="27"/>
  <c r="J6" i="33" l="1"/>
  <c r="K6" i="33" s="1"/>
  <c r="R6" i="33"/>
  <c r="S6" i="33" s="1"/>
  <c r="F60" i="19"/>
  <c r="F74" i="27"/>
  <c r="J5" i="33" l="1"/>
  <c r="K5" i="33" s="1"/>
  <c r="R5" i="33"/>
  <c r="S5" i="33" s="1"/>
  <c r="F61" i="19"/>
  <c r="F75" i="27"/>
  <c r="E19" i="27" s="1"/>
  <c r="J4" i="33" l="1"/>
  <c r="K4" i="33" s="1"/>
  <c r="R4" i="33"/>
  <c r="S4" i="33" s="1"/>
  <c r="F62" i="19"/>
  <c r="J3" i="33" l="1"/>
  <c r="K3" i="33" s="1"/>
  <c r="R3" i="33"/>
  <c r="S3" i="33" s="1"/>
  <c r="F63" i="19"/>
  <c r="C14" i="29"/>
  <c r="C18" i="40" s="1"/>
  <c r="C4" i="30"/>
  <c r="C7" i="30" s="1"/>
  <c r="J2" i="33" l="1"/>
  <c r="K2" i="33" s="1"/>
  <c r="F64" i="19"/>
  <c r="C20" i="30"/>
  <c r="C21" i="30" s="1"/>
  <c r="C23" i="30" s="1"/>
  <c r="C26" i="30" s="1"/>
  <c r="C12" i="30"/>
  <c r="C13" i="30" s="1"/>
  <c r="C15" i="30" s="1"/>
  <c r="R2" i="33" l="1"/>
  <c r="S2" i="33" s="1"/>
  <c r="F65" i="19"/>
  <c r="C30" i="30"/>
  <c r="D12" i="28" l="1"/>
  <c r="C34" i="30"/>
  <c r="C36" i="30" s="1"/>
  <c r="C57" i="30"/>
  <c r="C46" i="30"/>
  <c r="C49" i="30" s="1"/>
  <c r="C40" i="30"/>
  <c r="C43" i="30" s="1"/>
  <c r="C24" i="40"/>
  <c r="F66" i="19"/>
  <c r="B53" i="30" l="1"/>
  <c r="C59" i="30" s="1"/>
  <c r="C72" i="30" s="1"/>
  <c r="C74" i="30" s="1"/>
  <c r="F67" i="19"/>
  <c r="B63" i="30" l="1"/>
  <c r="F68" i="19"/>
  <c r="F69" i="19" l="1"/>
  <c r="F70" i="19" l="1"/>
  <c r="F71" i="19" l="1"/>
  <c r="F72" i="19" l="1"/>
  <c r="F73" i="19" l="1"/>
  <c r="F74" i="19" l="1"/>
  <c r="F75" i="19" l="1"/>
  <c r="F76" i="19" l="1"/>
  <c r="F77" i="19" l="1"/>
  <c r="F78" i="19" l="1"/>
  <c r="F79" i="19" l="1"/>
  <c r="F80" i="19" l="1"/>
  <c r="F81" i="19" l="1"/>
  <c r="F82" i="19" l="1"/>
  <c r="F83" i="19" l="1"/>
  <c r="F84" i="19" l="1"/>
  <c r="F85" i="19" l="1"/>
  <c r="F86" i="19" l="1"/>
  <c r="F87" i="19" l="1"/>
  <c r="F88" i="19" l="1"/>
  <c r="F89" i="19" l="1"/>
  <c r="F90" i="19" l="1"/>
  <c r="F91" i="19" l="1"/>
  <c r="F92" i="19" l="1"/>
  <c r="F93" i="19" l="1"/>
  <c r="F94" i="19" l="1"/>
  <c r="F95" i="19" l="1"/>
  <c r="F96" i="19" l="1"/>
  <c r="F97" i="19" l="1"/>
  <c r="F98" i="19" l="1"/>
  <c r="F99" i="19" l="1"/>
  <c r="F100" i="19" l="1"/>
  <c r="F101" i="19" l="1"/>
  <c r="F102" i="19" l="1"/>
  <c r="F103" i="19" l="1"/>
  <c r="F104" i="19" l="1"/>
  <c r="F105" i="19" l="1"/>
  <c r="F106" i="19" l="1"/>
  <c r="F107" i="19" l="1"/>
  <c r="F108" i="19" l="1"/>
  <c r="F109" i="19" l="1"/>
  <c r="F110" i="19" l="1"/>
  <c r="F111" i="19" l="1"/>
  <c r="F112" i="19" l="1"/>
  <c r="F113" i="19" l="1"/>
  <c r="F114" i="19" l="1"/>
  <c r="F115" i="19" l="1"/>
  <c r="F116" i="19" l="1"/>
  <c r="F117" i="19" l="1"/>
  <c r="F118" i="19" l="1"/>
  <c r="F119" i="19" l="1"/>
  <c r="F120" i="19" l="1"/>
  <c r="F121" i="19" l="1"/>
  <c r="F122" i="19" l="1"/>
  <c r="F123" i="19" l="1"/>
  <c r="D6" i="19" s="1"/>
  <c r="E20" i="21" l="1"/>
  <c r="E6" i="23" s="1"/>
  <c r="D7" i="19"/>
  <c r="E18" i="27" l="1"/>
  <c r="C5" i="40"/>
  <c r="C12" i="9" l="1"/>
  <c r="C15" i="9" s="1"/>
  <c r="C20" i="9" l="1"/>
  <c r="C21" i="9" s="1"/>
  <c r="C23" i="9" s="1"/>
  <c r="B11" i="23" s="1"/>
  <c r="C28" i="9"/>
  <c r="C29" i="9" s="1"/>
  <c r="C31" i="9" s="1"/>
  <c r="C34" i="9" s="1"/>
  <c r="B12" i="23" s="1"/>
  <c r="C25" i="23" l="1"/>
  <c r="E11" i="23"/>
  <c r="C38" i="9"/>
  <c r="C42" i="9" l="1"/>
  <c r="C44" i="9" s="1"/>
  <c r="C54" i="9"/>
  <c r="C57" i="9" s="1"/>
  <c r="C48" i="9"/>
  <c r="C51" i="9" s="1"/>
  <c r="C60" i="9"/>
  <c r="C62" i="9" s="1"/>
  <c r="C67" i="30" s="1"/>
  <c r="C69" i="30" s="1"/>
  <c r="D20" i="28" l="1"/>
  <c r="B13" i="23"/>
  <c r="B14" i="23" s="1"/>
  <c r="B7" i="23"/>
  <c r="B66" i="9"/>
  <c r="C70" i="9" s="1"/>
  <c r="C72" i="9" s="1"/>
  <c r="C23" i="28" l="1"/>
  <c r="C26" i="28" s="1"/>
  <c r="E13" i="23"/>
  <c r="E14" i="23" s="1"/>
  <c r="C75" i="9"/>
  <c r="C30" i="28" l="1"/>
  <c r="C8" i="40" s="1"/>
  <c r="C7" i="40"/>
  <c r="C37" i="40" s="1"/>
  <c r="C41" i="40" s="1"/>
  <c r="AD3" i="3"/>
  <c r="C77" i="9"/>
  <c r="F32" i="35" l="1"/>
  <c r="F6" i="36" s="1"/>
  <c r="F35" i="37" s="1"/>
  <c r="C32" i="35"/>
  <c r="F45" i="31"/>
  <c r="N2" i="32" s="1" a="1"/>
  <c r="N2" i="32" s="1"/>
  <c r="C19" i="23"/>
  <c r="H56" i="3" l="1"/>
  <c r="H59" i="3" s="1"/>
  <c r="I52" i="3" s="1"/>
  <c r="X2" i="32"/>
  <c r="AJ2" i="32" s="1"/>
  <c r="O9" i="32"/>
  <c r="X10" i="32"/>
  <c r="O8" i="32"/>
  <c r="X7" i="32"/>
  <c r="Y7" i="32" s="1"/>
  <c r="X16" i="32"/>
  <c r="O15" i="32"/>
  <c r="X8" i="32"/>
  <c r="X11" i="32"/>
  <c r="X13" i="32"/>
  <c r="O16" i="32"/>
  <c r="AL8" i="32"/>
  <c r="AL9" i="32"/>
  <c r="AL11" i="32"/>
  <c r="AL14" i="32"/>
  <c r="AL16" i="32"/>
  <c r="O18" i="32"/>
  <c r="X14" i="32"/>
  <c r="O7" i="32"/>
  <c r="P7" i="32" s="1"/>
  <c r="O13" i="32"/>
  <c r="O14" i="32"/>
  <c r="X17" i="32"/>
  <c r="O12" i="32"/>
  <c r="O11" i="32"/>
  <c r="X18" i="32"/>
  <c r="X12" i="32"/>
  <c r="AL18" i="32"/>
  <c r="AL7" i="32"/>
  <c r="AL17" i="32"/>
  <c r="AL12" i="32"/>
  <c r="AL13" i="32"/>
  <c r="AL15" i="32"/>
  <c r="X15" i="32"/>
  <c r="O17" i="32"/>
  <c r="X9" i="32"/>
  <c r="AL10" i="32"/>
  <c r="AL28" i="32"/>
  <c r="X23" i="32"/>
  <c r="X38" i="32"/>
  <c r="AL35" i="32"/>
  <c r="X33" i="32"/>
  <c r="X39" i="32"/>
  <c r="X27" i="32"/>
  <c r="X42" i="32"/>
  <c r="X24" i="32"/>
  <c r="X25" i="32"/>
  <c r="X26" i="32"/>
  <c r="X34" i="32"/>
  <c r="AL23" i="32"/>
  <c r="X30" i="32"/>
  <c r="O19" i="32"/>
  <c r="O41" i="32"/>
  <c r="AL25" i="32"/>
  <c r="AL41" i="32"/>
  <c r="O33" i="32"/>
  <c r="AL26" i="32"/>
  <c r="AL42" i="32"/>
  <c r="AL30" i="32"/>
  <c r="O40" i="32"/>
  <c r="AL27" i="32"/>
  <c r="X21" i="32"/>
  <c r="O28" i="32"/>
  <c r="AL37" i="32"/>
  <c r="O32" i="32"/>
  <c r="AL22" i="32"/>
  <c r="AL29" i="32"/>
  <c r="X40" i="32"/>
  <c r="AL36" i="32"/>
  <c r="X19" i="32"/>
  <c r="X32" i="32"/>
  <c r="X22" i="32"/>
  <c r="X36" i="32"/>
  <c r="X41" i="32"/>
  <c r="X35" i="32"/>
  <c r="X31" i="32"/>
  <c r="X28" i="32"/>
  <c r="O20" i="32"/>
  <c r="AL39" i="32"/>
  <c r="O31" i="32"/>
  <c r="X29" i="32"/>
  <c r="O36" i="32"/>
  <c r="O29" i="32"/>
  <c r="AL32" i="32"/>
  <c r="O21" i="32"/>
  <c r="O38" i="32"/>
  <c r="O25" i="32"/>
  <c r="AL20" i="32"/>
  <c r="X20" i="32"/>
  <c r="X37" i="32"/>
  <c r="O24" i="32"/>
  <c r="AL38" i="32"/>
  <c r="AL31" i="32"/>
  <c r="AL19" i="32"/>
  <c r="AL34" i="32"/>
  <c r="AL21" i="32"/>
  <c r="O26" i="32"/>
  <c r="O23" i="32"/>
  <c r="AL24" i="32"/>
  <c r="AL40" i="32"/>
  <c r="O30" i="32"/>
  <c r="O37" i="32"/>
  <c r="O27" i="32"/>
  <c r="O35" i="32"/>
  <c r="O22" i="32"/>
  <c r="O34" i="32"/>
  <c r="O39" i="32"/>
  <c r="O42" i="32"/>
  <c r="AL33" i="32"/>
  <c r="O10" i="32"/>
  <c r="AL187" i="32"/>
  <c r="X195" i="32"/>
  <c r="AL203" i="32"/>
  <c r="X211" i="32"/>
  <c r="O220" i="32"/>
  <c r="X227" i="32"/>
  <c r="AL235" i="32"/>
  <c r="X243" i="32"/>
  <c r="O82" i="32"/>
  <c r="O68" i="32"/>
  <c r="O84" i="32"/>
  <c r="AL119" i="32"/>
  <c r="AL152" i="32"/>
  <c r="AL126" i="32"/>
  <c r="AL146" i="32"/>
  <c r="AL133" i="32"/>
  <c r="AL95" i="32"/>
  <c r="O78" i="32"/>
  <c r="O132" i="32"/>
  <c r="O159" i="32"/>
  <c r="O122" i="32"/>
  <c r="X78" i="32"/>
  <c r="X85" i="32"/>
  <c r="X109" i="32"/>
  <c r="X133" i="32"/>
  <c r="X157" i="32"/>
  <c r="X181" i="32"/>
  <c r="X183" i="32"/>
  <c r="O197" i="32"/>
  <c r="AL61" i="32"/>
  <c r="X136" i="32"/>
  <c r="O222" i="32"/>
  <c r="AL108" i="32"/>
  <c r="O135" i="32"/>
  <c r="X92" i="32"/>
  <c r="O199" i="32"/>
  <c r="X246" i="32"/>
  <c r="AL124" i="32"/>
  <c r="X62" i="32"/>
  <c r="AL198" i="32"/>
  <c r="AL247" i="32"/>
  <c r="AL130" i="32"/>
  <c r="AL91" i="32"/>
  <c r="O141" i="32"/>
  <c r="X94" i="32"/>
  <c r="X166" i="32"/>
  <c r="O207" i="32"/>
  <c r="AL67" i="32"/>
  <c r="X72" i="32"/>
  <c r="O70" i="32"/>
  <c r="X74" i="32"/>
  <c r="X168" i="32"/>
  <c r="X207" i="32"/>
  <c r="X239" i="32"/>
  <c r="AL90" i="32"/>
  <c r="O97" i="32"/>
  <c r="X169" i="32"/>
  <c r="O200" i="32"/>
  <c r="O130" i="32"/>
  <c r="AL70" i="32"/>
  <c r="X170" i="32"/>
  <c r="AL240" i="32"/>
  <c r="AL122" i="32"/>
  <c r="AL99" i="32"/>
  <c r="X68" i="32"/>
  <c r="X188" i="32"/>
  <c r="O196" i="32"/>
  <c r="X203" i="32"/>
  <c r="O212" i="32"/>
  <c r="AL219" i="32"/>
  <c r="O228" i="32"/>
  <c r="O236" i="32"/>
  <c r="O244" i="32"/>
  <c r="O93" i="32"/>
  <c r="O46" i="32"/>
  <c r="AL135" i="32"/>
  <c r="AL168" i="32"/>
  <c r="AL147" i="32"/>
  <c r="AL150" i="32"/>
  <c r="AL144" i="32"/>
  <c r="O99" i="32"/>
  <c r="O101" i="32"/>
  <c r="O109" i="32"/>
  <c r="X45" i="32"/>
  <c r="X64" i="32"/>
  <c r="X86" i="32"/>
  <c r="X110" i="32"/>
  <c r="X134" i="32"/>
  <c r="X158" i="32"/>
  <c r="X182" i="32"/>
  <c r="O189" i="32"/>
  <c r="X67" i="32"/>
  <c r="X184" i="32"/>
  <c r="X229" i="32"/>
  <c r="AL182" i="32"/>
  <c r="O106" i="32"/>
  <c r="X61" i="32"/>
  <c r="AL206" i="32"/>
  <c r="AL238" i="32"/>
  <c r="O124" i="32"/>
  <c r="O171" i="32"/>
  <c r="X141" i="32"/>
  <c r="X206" i="32"/>
  <c r="X238" i="32"/>
  <c r="AL140" i="32"/>
  <c r="O165" i="32"/>
  <c r="X118" i="32"/>
  <c r="X198" i="32"/>
  <c r="AL58" i="32"/>
  <c r="O158" i="32"/>
  <c r="X119" i="32"/>
  <c r="O120" i="32"/>
  <c r="X43" i="32"/>
  <c r="X199" i="32"/>
  <c r="O154" i="32"/>
  <c r="AL51" i="32"/>
  <c r="AL149" i="32"/>
  <c r="O66" i="32"/>
  <c r="X121" i="32"/>
  <c r="O216" i="32"/>
  <c r="O127" i="32"/>
  <c r="O85" i="32"/>
  <c r="AL155" i="32"/>
  <c r="O173" i="32"/>
  <c r="X65" i="32"/>
  <c r="AL208" i="32"/>
  <c r="AL63" i="32"/>
  <c r="X147" i="32"/>
  <c r="O188" i="32"/>
  <c r="AL196" i="32"/>
  <c r="AL204" i="32"/>
  <c r="AL212" i="32"/>
  <c r="AL220" i="32"/>
  <c r="AL228" i="32"/>
  <c r="AL236" i="32"/>
  <c r="AL244" i="32"/>
  <c r="O69" i="32"/>
  <c r="O149" i="32"/>
  <c r="AL151" i="32"/>
  <c r="AL184" i="32"/>
  <c r="AL97" i="32"/>
  <c r="AL45" i="32"/>
  <c r="AL65" i="32"/>
  <c r="O86" i="32"/>
  <c r="O53" i="32"/>
  <c r="O45" i="32"/>
  <c r="X46" i="32"/>
  <c r="X66" i="32"/>
  <c r="X87" i="32"/>
  <c r="X111" i="32"/>
  <c r="X135" i="32"/>
  <c r="X159" i="32"/>
  <c r="O205" i="32"/>
  <c r="X212" i="32"/>
  <c r="X220" i="32"/>
  <c r="O229" i="32"/>
  <c r="X236" i="32"/>
  <c r="O245" i="32"/>
  <c r="O144" i="32"/>
  <c r="O178" i="32"/>
  <c r="O166" i="32"/>
  <c r="AL167" i="32"/>
  <c r="AL169" i="32"/>
  <c r="AL98" i="32"/>
  <c r="AL85" i="32"/>
  <c r="AL44" i="32"/>
  <c r="AL66" i="32"/>
  <c r="O138" i="32"/>
  <c r="O143" i="32"/>
  <c r="O162" i="32"/>
  <c r="X49" i="32"/>
  <c r="X88" i="32"/>
  <c r="X112" i="32"/>
  <c r="X160" i="32"/>
  <c r="X213" i="32"/>
  <c r="O139" i="32"/>
  <c r="X140" i="32"/>
  <c r="O231" i="32"/>
  <c r="O145" i="32"/>
  <c r="AL111" i="32"/>
  <c r="AL129" i="32"/>
  <c r="O49" i="32"/>
  <c r="X93" i="32"/>
  <c r="X222" i="32"/>
  <c r="O185" i="32"/>
  <c r="AL50" i="32"/>
  <c r="X48" i="32"/>
  <c r="O215" i="32"/>
  <c r="O167" i="32"/>
  <c r="AL115" i="32"/>
  <c r="AL131" i="32"/>
  <c r="O57" i="32"/>
  <c r="X95" i="32"/>
  <c r="AL84" i="32"/>
  <c r="X96" i="32"/>
  <c r="X231" i="32"/>
  <c r="O63" i="32"/>
  <c r="AL139" i="32"/>
  <c r="X59" i="32"/>
  <c r="X223" i="32"/>
  <c r="AL166" i="32"/>
  <c r="O137" i="32"/>
  <c r="X98" i="32"/>
  <c r="O65" i="32"/>
  <c r="O75" i="32"/>
  <c r="AL188" i="32"/>
  <c r="X196" i="32"/>
  <c r="X204" i="32"/>
  <c r="O213" i="32"/>
  <c r="O221" i="32"/>
  <c r="X228" i="32"/>
  <c r="O237" i="32"/>
  <c r="X244" i="32"/>
  <c r="O103" i="32"/>
  <c r="O112" i="32"/>
  <c r="O134" i="32"/>
  <c r="AL183" i="32"/>
  <c r="AL109" i="32"/>
  <c r="AL179" i="32"/>
  <c r="AL102" i="32"/>
  <c r="AL60" i="32"/>
  <c r="AL125" i="32"/>
  <c r="O187" i="32"/>
  <c r="O140" i="32"/>
  <c r="O88" i="32"/>
  <c r="X52" i="32"/>
  <c r="X55" i="32"/>
  <c r="X89" i="32"/>
  <c r="X113" i="32"/>
  <c r="X137" i="32"/>
  <c r="X161" i="32"/>
  <c r="X185" i="32"/>
  <c r="X197" i="32"/>
  <c r="O214" i="32"/>
  <c r="X237" i="32"/>
  <c r="O94" i="32"/>
  <c r="AL175" i="32"/>
  <c r="AL43" i="32"/>
  <c r="O51" i="32"/>
  <c r="O108" i="32"/>
  <c r="X91" i="32"/>
  <c r="X139" i="32"/>
  <c r="X187" i="32"/>
  <c r="O206" i="32"/>
  <c r="AL246" i="32"/>
  <c r="O180" i="32"/>
  <c r="AL94" i="32"/>
  <c r="AL59" i="32"/>
  <c r="AL86" i="32"/>
  <c r="X116" i="32"/>
  <c r="AL214" i="32"/>
  <c r="AL75" i="32"/>
  <c r="O89" i="32"/>
  <c r="X165" i="32"/>
  <c r="AL230" i="32"/>
  <c r="AL80" i="32"/>
  <c r="O91" i="32"/>
  <c r="X142" i="32"/>
  <c r="X230" i="32"/>
  <c r="O239" i="32"/>
  <c r="O58" i="32"/>
  <c r="AL107" i="32"/>
  <c r="O87" i="32"/>
  <c r="X167" i="32"/>
  <c r="O163" i="32"/>
  <c r="X144" i="32"/>
  <c r="O224" i="32"/>
  <c r="O55" i="32"/>
  <c r="AL117" i="32"/>
  <c r="O208" i="32"/>
  <c r="AL106" i="32"/>
  <c r="O146" i="32"/>
  <c r="X122" i="32"/>
  <c r="O121" i="32"/>
  <c r="O131" i="32"/>
  <c r="AL189" i="32"/>
  <c r="AL197" i="32"/>
  <c r="AL205" i="32"/>
  <c r="AL213" i="32"/>
  <c r="AL221" i="32"/>
  <c r="AL229" i="32"/>
  <c r="AL237" i="32"/>
  <c r="AL245" i="32"/>
  <c r="O61" i="32"/>
  <c r="O80" i="32"/>
  <c r="O83" i="32"/>
  <c r="AL153" i="32"/>
  <c r="AL62" i="32"/>
  <c r="AL148" i="32"/>
  <c r="AL76" i="32"/>
  <c r="AL142" i="32"/>
  <c r="AL164" i="32"/>
  <c r="O172" i="32"/>
  <c r="O174" i="32"/>
  <c r="O183" i="32"/>
  <c r="X75" i="32"/>
  <c r="X90" i="32"/>
  <c r="X114" i="32"/>
  <c r="X138" i="32"/>
  <c r="X162" i="32"/>
  <c r="X186" i="32"/>
  <c r="X205" i="32"/>
  <c r="X221" i="32"/>
  <c r="O230" i="32"/>
  <c r="X245" i="32"/>
  <c r="O179" i="32"/>
  <c r="AL141" i="32"/>
  <c r="AL181" i="32"/>
  <c r="AL92" i="32"/>
  <c r="AL143" i="32"/>
  <c r="AL53" i="32"/>
  <c r="O52" i="32"/>
  <c r="O50" i="32"/>
  <c r="X76" i="32"/>
  <c r="X115" i="32"/>
  <c r="X163" i="32"/>
  <c r="O198" i="32"/>
  <c r="O238" i="32"/>
  <c r="O79" i="32"/>
  <c r="AL160" i="32"/>
  <c r="AL48" i="32"/>
  <c r="O115" i="32"/>
  <c r="X164" i="32"/>
  <c r="AL222" i="32"/>
  <c r="AL113" i="32"/>
  <c r="AL128" i="32"/>
  <c r="X117" i="32"/>
  <c r="X214" i="32"/>
  <c r="X56" i="32"/>
  <c r="O223" i="32"/>
  <c r="X247" i="32"/>
  <c r="AL161" i="32"/>
  <c r="AL156" i="32"/>
  <c r="O96" i="32"/>
  <c r="X143" i="32"/>
  <c r="O133" i="32"/>
  <c r="X120" i="32"/>
  <c r="X215" i="32"/>
  <c r="AL69" i="32"/>
  <c r="O98" i="32"/>
  <c r="X97" i="32"/>
  <c r="O232" i="32"/>
  <c r="AL100" i="32"/>
  <c r="AL118" i="32"/>
  <c r="AL216" i="32"/>
  <c r="X189" i="32"/>
  <c r="O190" i="32"/>
  <c r="AL190" i="32"/>
  <c r="O191" i="32"/>
  <c r="AL171" i="32"/>
  <c r="X190" i="32"/>
  <c r="X191" i="32"/>
  <c r="AL199" i="32"/>
  <c r="AL207" i="32"/>
  <c r="AL215" i="32"/>
  <c r="AL223" i="32"/>
  <c r="AL231" i="32"/>
  <c r="AL239" i="32"/>
  <c r="O155" i="32"/>
  <c r="O186" i="32"/>
  <c r="O175" i="32"/>
  <c r="AL82" i="32"/>
  <c r="AL132" i="32"/>
  <c r="AL74" i="32"/>
  <c r="AL123" i="32"/>
  <c r="AL172" i="32"/>
  <c r="AL77" i="32"/>
  <c r="X145" i="32"/>
  <c r="O240" i="32"/>
  <c r="AL174" i="32"/>
  <c r="O170" i="32"/>
  <c r="X146" i="32"/>
  <c r="O168" i="32"/>
  <c r="O192" i="32"/>
  <c r="AL191" i="32"/>
  <c r="AL192" i="32"/>
  <c r="O193" i="32"/>
  <c r="X200" i="32"/>
  <c r="X208" i="32"/>
  <c r="X216" i="32"/>
  <c r="AL224" i="32"/>
  <c r="X232" i="32"/>
  <c r="X240" i="32"/>
  <c r="O81" i="32"/>
  <c r="O72" i="32"/>
  <c r="O59" i="32"/>
  <c r="AL54" i="32"/>
  <c r="AL138" i="32"/>
  <c r="AL173" i="32"/>
  <c r="AL159" i="32"/>
  <c r="AL177" i="32"/>
  <c r="O67" i="32"/>
  <c r="O90" i="32"/>
  <c r="O129" i="32"/>
  <c r="X53" i="32"/>
  <c r="X63" i="32"/>
  <c r="X100" i="32"/>
  <c r="X124" i="32"/>
  <c r="X148" i="32"/>
  <c r="X172" i="32"/>
  <c r="X125" i="32"/>
  <c r="X173" i="32"/>
  <c r="AL176" i="32"/>
  <c r="O54" i="32"/>
  <c r="W2" i="32"/>
  <c r="AH2" i="32" s="1"/>
  <c r="X126" i="32"/>
  <c r="X174" i="32"/>
  <c r="X209" i="32"/>
  <c r="X241" i="32"/>
  <c r="AL56" i="32"/>
  <c r="AL79" i="32"/>
  <c r="AL52" i="32"/>
  <c r="O43" i="32"/>
  <c r="X58" i="32"/>
  <c r="X151" i="32"/>
  <c r="AL218" i="32"/>
  <c r="O56" i="32"/>
  <c r="AL88" i="32"/>
  <c r="AL165" i="32"/>
  <c r="O169" i="32"/>
  <c r="X105" i="32"/>
  <c r="X99" i="32"/>
  <c r="X192" i="32"/>
  <c r="O201" i="32"/>
  <c r="O209" i="32"/>
  <c r="O217" i="32"/>
  <c r="X224" i="32"/>
  <c r="O233" i="32"/>
  <c r="O241" i="32"/>
  <c r="O181" i="32"/>
  <c r="O95" i="32"/>
  <c r="O157" i="32"/>
  <c r="AL57" i="32"/>
  <c r="AL154" i="32"/>
  <c r="AL78" i="32"/>
  <c r="AL96" i="32"/>
  <c r="AL178" i="32"/>
  <c r="AL134" i="32"/>
  <c r="O136" i="32"/>
  <c r="O176" i="32"/>
  <c r="X69" i="32"/>
  <c r="O47" i="32"/>
  <c r="X101" i="32"/>
  <c r="X149" i="32"/>
  <c r="O73" i="32"/>
  <c r="AL73" i="32"/>
  <c r="AL158" i="32"/>
  <c r="O147" i="32"/>
  <c r="O102" i="32"/>
  <c r="X57" i="32"/>
  <c r="X102" i="32"/>
  <c r="X150" i="32"/>
  <c r="X201" i="32"/>
  <c r="X225" i="32"/>
  <c r="O234" i="32"/>
  <c r="O110" i="32"/>
  <c r="AL89" i="32"/>
  <c r="AL49" i="32"/>
  <c r="O48" i="32"/>
  <c r="X103" i="32"/>
  <c r="X175" i="32"/>
  <c r="AL210" i="32"/>
  <c r="O77" i="32"/>
  <c r="AL110" i="32"/>
  <c r="O105" i="32"/>
  <c r="X77" i="32"/>
  <c r="X153" i="32"/>
  <c r="AL101" i="32"/>
  <c r="X123" i="32"/>
  <c r="AL193" i="32"/>
  <c r="AL201" i="32"/>
  <c r="AL209" i="32"/>
  <c r="AL217" i="32"/>
  <c r="AL225" i="32"/>
  <c r="AL233" i="32"/>
  <c r="AL241" i="32"/>
  <c r="O148" i="32"/>
  <c r="AL170" i="32"/>
  <c r="AL83" i="32"/>
  <c r="X217" i="32"/>
  <c r="O113" i="32"/>
  <c r="AL93" i="32"/>
  <c r="O151" i="32"/>
  <c r="O125" i="32"/>
  <c r="X54" i="32"/>
  <c r="X79" i="32"/>
  <c r="X127" i="32"/>
  <c r="AL202" i="32"/>
  <c r="AL226" i="32"/>
  <c r="AL234" i="32"/>
  <c r="AL242" i="32"/>
  <c r="O111" i="32"/>
  <c r="AL55" i="32"/>
  <c r="AL121" i="32"/>
  <c r="O119" i="32"/>
  <c r="O142" i="32"/>
  <c r="X81" i="32"/>
  <c r="X129" i="32"/>
  <c r="AL232" i="32"/>
  <c r="AL46" i="32"/>
  <c r="X171" i="32"/>
  <c r="O194" i="32"/>
  <c r="X193" i="32"/>
  <c r="O202" i="32"/>
  <c r="O210" i="32"/>
  <c r="O218" i="32"/>
  <c r="O226" i="32"/>
  <c r="X233" i="32"/>
  <c r="O242" i="32"/>
  <c r="O76" i="32"/>
  <c r="O71" i="32"/>
  <c r="AL72" i="32"/>
  <c r="AL105" i="32"/>
  <c r="AL64" i="32"/>
  <c r="AL145" i="32"/>
  <c r="AL180" i="32"/>
  <c r="O62" i="32"/>
  <c r="O153" i="32"/>
  <c r="O117" i="32"/>
  <c r="O152" i="32"/>
  <c r="X44" i="32"/>
  <c r="X60" i="32"/>
  <c r="X80" i="32"/>
  <c r="X104" i="32"/>
  <c r="X128" i="32"/>
  <c r="X152" i="32"/>
  <c r="X176" i="32"/>
  <c r="AL194" i="32"/>
  <c r="AL114" i="32"/>
  <c r="X47" i="32"/>
  <c r="X177" i="32"/>
  <c r="X51" i="32"/>
  <c r="O247" i="32"/>
  <c r="O246" i="32"/>
  <c r="X194" i="32"/>
  <c r="X202" i="32"/>
  <c r="X210" i="32"/>
  <c r="X218" i="32"/>
  <c r="O227" i="32"/>
  <c r="O235" i="32"/>
  <c r="O243" i="32"/>
  <c r="O177" i="32"/>
  <c r="O126" i="32"/>
  <c r="O161" i="32"/>
  <c r="AL71" i="32"/>
  <c r="AL104" i="32"/>
  <c r="AL137" i="32"/>
  <c r="AL127" i="32"/>
  <c r="AL162" i="32"/>
  <c r="O184" i="32"/>
  <c r="O92" i="32"/>
  <c r="O123" i="32"/>
  <c r="O128" i="32"/>
  <c r="X70" i="32"/>
  <c r="X82" i="32"/>
  <c r="X106" i="32"/>
  <c r="X130" i="32"/>
  <c r="X154" i="32"/>
  <c r="X178" i="32"/>
  <c r="X84" i="32"/>
  <c r="X132" i="32"/>
  <c r="X180" i="32"/>
  <c r="O225" i="32"/>
  <c r="O104" i="32"/>
  <c r="O195" i="32"/>
  <c r="O203" i="32"/>
  <c r="O211" i="32"/>
  <c r="O219" i="32"/>
  <c r="X226" i="32"/>
  <c r="X234" i="32"/>
  <c r="X242" i="32"/>
  <c r="O44" i="32"/>
  <c r="O107" i="32"/>
  <c r="O160" i="32"/>
  <c r="AL87" i="32"/>
  <c r="AL120" i="32"/>
  <c r="AL185" i="32"/>
  <c r="AL112" i="32"/>
  <c r="AL163" i="32"/>
  <c r="AL116" i="32"/>
  <c r="O116" i="32"/>
  <c r="O182" i="32"/>
  <c r="O150" i="32"/>
  <c r="O118" i="32"/>
  <c r="X50" i="32"/>
  <c r="X71" i="32"/>
  <c r="X83" i="32"/>
  <c r="X107" i="32"/>
  <c r="X131" i="32"/>
  <c r="X155" i="32"/>
  <c r="X179" i="32"/>
  <c r="AL195" i="32"/>
  <c r="O204" i="32"/>
  <c r="AL211" i="32"/>
  <c r="X219" i="32"/>
  <c r="AL227" i="32"/>
  <c r="X235" i="32"/>
  <c r="AL243" i="32"/>
  <c r="O164" i="32"/>
  <c r="O74" i="32"/>
  <c r="AL103" i="32"/>
  <c r="AL136" i="32"/>
  <c r="AL157" i="32"/>
  <c r="AL81" i="32"/>
  <c r="AL68" i="32"/>
  <c r="AL47" i="32"/>
  <c r="O114" i="32"/>
  <c r="O60" i="32"/>
  <c r="O64" i="32"/>
  <c r="O156" i="32"/>
  <c r="X73" i="32"/>
  <c r="X108" i="32"/>
  <c r="X156" i="32"/>
  <c r="AL200" i="32"/>
  <c r="O100" i="32"/>
  <c r="AL186" i="32"/>
  <c r="C2" i="37"/>
  <c r="C22" i="23"/>
  <c r="H61" i="3" l="1"/>
  <c r="H29" i="3" s="1"/>
  <c r="K35" i="3" s="1"/>
  <c r="I37" i="3" s="1"/>
  <c r="J37" i="3" s="1"/>
  <c r="K36" i="3" s="1"/>
  <c r="I38" i="3" s="1"/>
  <c r="J38" i="3" s="1"/>
  <c r="K37" i="3" s="1"/>
  <c r="I39" i="3" s="1"/>
  <c r="J39" i="3" s="1"/>
  <c r="K38" i="3" s="1"/>
  <c r="I40" i="3" s="1"/>
  <c r="J40" i="3" s="1"/>
  <c r="K39" i="3" s="1"/>
  <c r="I41" i="3" s="1"/>
  <c r="J41" i="3" s="1"/>
  <c r="K40" i="3" s="1"/>
  <c r="I42" i="3" s="1"/>
  <c r="J42" i="3" s="1"/>
  <c r="K41" i="3" s="1"/>
  <c r="I43" i="3" s="1"/>
  <c r="J43" i="3" s="1"/>
  <c r="K42" i="3" s="1"/>
  <c r="I44" i="3" s="1"/>
  <c r="J44" i="3" s="1"/>
  <c r="K43" i="3" s="1"/>
  <c r="I45" i="3" s="1"/>
  <c r="J45" i="3" s="1"/>
  <c r="K44" i="3" s="1"/>
  <c r="E12" i="62"/>
  <c r="Y8" i="32"/>
  <c r="Y9" i="32" s="1"/>
  <c r="Y10" i="32" s="1"/>
  <c r="Y11" i="32" s="1"/>
  <c r="Y12" i="32" s="1"/>
  <c r="Y13" i="32" s="1"/>
  <c r="Y14" i="32" s="1"/>
  <c r="Y15" i="32" s="1"/>
  <c r="Y16" i="32" s="1"/>
  <c r="Y17" i="32" s="1"/>
  <c r="P8" i="32"/>
  <c r="P9" i="32" s="1"/>
  <c r="P10" i="32" s="1"/>
  <c r="P11" i="32" s="1"/>
  <c r="P12" i="32" s="1"/>
  <c r="P13" i="32" s="1"/>
  <c r="P14" i="32" s="1"/>
  <c r="P15" i="32" s="1"/>
  <c r="P16" i="32" s="1"/>
  <c r="P17" i="32" s="1"/>
  <c r="C30" i="23"/>
  <c r="C2" i="35" s="1"/>
  <c r="C6" i="40"/>
  <c r="C36" i="40" s="1"/>
  <c r="C38" i="40" s="1"/>
  <c r="C34" i="37"/>
  <c r="H31" i="3" l="1"/>
  <c r="Q57" i="3"/>
  <c r="E13" i="62"/>
  <c r="J12" i="62"/>
  <c r="K12" i="62" s="1"/>
  <c r="L45" i="3"/>
  <c r="L46" i="3" s="1"/>
  <c r="I46" i="3"/>
  <c r="J46" i="3" s="1"/>
  <c r="K45" i="3" s="1"/>
  <c r="I47" i="3" s="1"/>
  <c r="J47" i="3" s="1"/>
  <c r="K46" i="3" s="1"/>
  <c r="I48" i="3" s="1"/>
  <c r="J48" i="3" s="1"/>
  <c r="K47" i="3" s="1"/>
  <c r="D45" i="31"/>
  <c r="F5" i="31" s="1"/>
  <c r="F9" i="31" s="1"/>
  <c r="I2" i="33"/>
  <c r="L2" i="33" s="1"/>
  <c r="Q2" i="33"/>
  <c r="T2" i="33" s="1"/>
  <c r="E14" i="62" l="1"/>
  <c r="J13" i="62"/>
  <c r="K13" i="62" s="1"/>
  <c r="P33" i="3"/>
  <c r="Q33" i="3" s="1"/>
  <c r="P42" i="3"/>
  <c r="Q42" i="3" s="1"/>
  <c r="P39" i="3"/>
  <c r="Q39" i="3" s="1"/>
  <c r="P36" i="3"/>
  <c r="Q36" i="3" s="1"/>
  <c r="P38" i="3"/>
  <c r="Q38" i="3" s="1"/>
  <c r="P41" i="3"/>
  <c r="Q41" i="3" s="1"/>
  <c r="P32" i="3"/>
  <c r="Q32" i="3" s="1"/>
  <c r="P34" i="3"/>
  <c r="Q34" i="3" s="1"/>
  <c r="P35" i="3"/>
  <c r="Q35" i="3" s="1"/>
  <c r="P37" i="3"/>
  <c r="Q37" i="3" s="1"/>
  <c r="P43" i="3"/>
  <c r="Q43" i="3" s="1"/>
  <c r="P40" i="3"/>
  <c r="Q40" i="3" s="1"/>
  <c r="J2" i="32" a="1"/>
  <c r="J2" i="32" s="1"/>
  <c r="AB107" i="32" s="1"/>
  <c r="D46" i="31"/>
  <c r="C35" i="37" s="1" a="1"/>
  <c r="C35" i="37" s="1"/>
  <c r="E15" i="62" l="1"/>
  <c r="J14" i="62"/>
  <c r="K14" i="62" s="1"/>
  <c r="J81" i="32"/>
  <c r="AB30" i="32"/>
  <c r="J225" i="32"/>
  <c r="J201" i="32"/>
  <c r="J62" i="32"/>
  <c r="J25" i="32"/>
  <c r="J86" i="32"/>
  <c r="S54" i="32"/>
  <c r="AB39" i="32"/>
  <c r="AB43" i="32"/>
  <c r="S145" i="32"/>
  <c r="J176" i="32"/>
  <c r="J193" i="32"/>
  <c r="S204" i="32"/>
  <c r="J212" i="32"/>
  <c r="AB110" i="32"/>
  <c r="J132" i="32"/>
  <c r="AB89" i="32"/>
  <c r="J173" i="32"/>
  <c r="AB140" i="32"/>
  <c r="S83" i="32"/>
  <c r="J231" i="32"/>
  <c r="S62" i="32"/>
  <c r="J141" i="32"/>
  <c r="AB78" i="32"/>
  <c r="S134" i="32"/>
  <c r="S174" i="32"/>
  <c r="J125" i="32"/>
  <c r="S40" i="32"/>
  <c r="S131" i="32"/>
  <c r="S219" i="32"/>
  <c r="J111" i="32"/>
  <c r="S195" i="32"/>
  <c r="J17" i="32"/>
  <c r="AB184" i="32"/>
  <c r="J103" i="32"/>
  <c r="AB136" i="32"/>
  <c r="J39" i="32"/>
  <c r="S23" i="32"/>
  <c r="S109" i="32"/>
  <c r="AB130" i="32"/>
  <c r="S107" i="32"/>
  <c r="J233" i="32"/>
  <c r="AB141" i="32"/>
  <c r="S21" i="32"/>
  <c r="S241" i="32"/>
  <c r="J60" i="32"/>
  <c r="S217" i="32"/>
  <c r="AB37" i="32"/>
  <c r="S56" i="32"/>
  <c r="S85" i="32"/>
  <c r="AB35" i="32"/>
  <c r="AB12" i="32"/>
  <c r="J166" i="32"/>
  <c r="AB54" i="32"/>
  <c r="J170" i="32"/>
  <c r="AB120" i="32"/>
  <c r="S246" i="32"/>
  <c r="J106" i="32"/>
  <c r="J35" i="32"/>
  <c r="J228" i="32"/>
  <c r="S8" i="32"/>
  <c r="S192" i="32"/>
  <c r="S196" i="32"/>
  <c r="S178" i="32"/>
  <c r="J204" i="32"/>
  <c r="AB87" i="32"/>
  <c r="J140" i="32"/>
  <c r="S86" i="32"/>
  <c r="S39" i="32"/>
  <c r="J75" i="32"/>
  <c r="S110" i="32"/>
  <c r="AB25" i="32"/>
  <c r="J13" i="32"/>
  <c r="S108" i="32"/>
  <c r="J31" i="32"/>
  <c r="J164" i="32"/>
  <c r="J87" i="32"/>
  <c r="AB168" i="32"/>
  <c r="J23" i="32"/>
  <c r="AB152" i="32"/>
  <c r="J109" i="32"/>
  <c r="AB118" i="32"/>
  <c r="S153" i="32"/>
  <c r="J98" i="32"/>
  <c r="S77" i="32"/>
  <c r="J122" i="32"/>
  <c r="S84" i="32"/>
  <c r="S82" i="32"/>
  <c r="S12" i="32"/>
  <c r="S53" i="32"/>
  <c r="AB57" i="32"/>
  <c r="J113" i="32"/>
  <c r="J107" i="32"/>
  <c r="J26" i="32"/>
  <c r="S222" i="32"/>
  <c r="AB41" i="32"/>
  <c r="S175" i="32"/>
  <c r="AB83" i="32"/>
  <c r="J99" i="32"/>
  <c r="J8" i="32"/>
  <c r="J9" i="32"/>
  <c r="AB138" i="32"/>
  <c r="S177" i="32"/>
  <c r="J112" i="32"/>
  <c r="J85" i="32"/>
  <c r="S101" i="32"/>
  <c r="AB51" i="32"/>
  <c r="J210" i="32"/>
  <c r="S129" i="32"/>
  <c r="J20" i="32"/>
  <c r="S132" i="32"/>
  <c r="J209" i="32"/>
  <c r="AB9" i="32"/>
  <c r="AB52" i="32"/>
  <c r="J188" i="32"/>
  <c r="J128" i="32"/>
  <c r="J152" i="32"/>
  <c r="AB128" i="32"/>
  <c r="S223" i="32"/>
  <c r="J33" i="32"/>
  <c r="AB164" i="32"/>
  <c r="AB48" i="32"/>
  <c r="S193" i="32"/>
  <c r="S55" i="32"/>
  <c r="J124" i="32"/>
  <c r="J232" i="32"/>
  <c r="AB36" i="32"/>
  <c r="AB34" i="32"/>
  <c r="J206" i="32"/>
  <c r="S181" i="32"/>
  <c r="J78" i="32"/>
  <c r="S31" i="32"/>
  <c r="S172" i="32"/>
  <c r="S199" i="32"/>
  <c r="S148" i="32"/>
  <c r="S124" i="32"/>
  <c r="AB125" i="32"/>
  <c r="AB63" i="32"/>
  <c r="J32" i="32"/>
  <c r="AB143" i="32"/>
  <c r="S38" i="32"/>
  <c r="S218" i="32"/>
  <c r="AB68" i="32"/>
  <c r="AB146" i="32"/>
  <c r="S198" i="32"/>
  <c r="AB115" i="32"/>
  <c r="J97" i="32"/>
  <c r="AB76" i="32"/>
  <c r="S197" i="32"/>
  <c r="S156" i="32"/>
  <c r="J61" i="32"/>
  <c r="S180" i="32"/>
  <c r="S133" i="32"/>
  <c r="S58" i="32"/>
  <c r="S215" i="32"/>
  <c r="AB47" i="32"/>
  <c r="AB82" i="32"/>
  <c r="J30" i="32"/>
  <c r="AB56" i="32"/>
  <c r="AB186" i="32"/>
  <c r="S155" i="32"/>
  <c r="S154" i="32"/>
  <c r="AB154" i="32"/>
  <c r="J84" i="32"/>
  <c r="AB14" i="32"/>
  <c r="AB73" i="32"/>
  <c r="S242" i="32"/>
  <c r="S14" i="32"/>
  <c r="S152" i="32"/>
  <c r="J203" i="32"/>
  <c r="J224" i="32"/>
  <c r="S158" i="32"/>
  <c r="J21" i="32"/>
  <c r="S182" i="32"/>
  <c r="J55" i="32"/>
  <c r="AB60" i="32"/>
  <c r="J57" i="32"/>
  <c r="J230" i="32"/>
  <c r="S221" i="32"/>
  <c r="AB44" i="32"/>
  <c r="AB70" i="32"/>
  <c r="S220" i="32"/>
  <c r="S245" i="32"/>
  <c r="S239" i="32"/>
  <c r="J143" i="32"/>
  <c r="S34" i="32"/>
  <c r="J175" i="32"/>
  <c r="AB162" i="32"/>
  <c r="J18" i="32"/>
  <c r="S243" i="32"/>
  <c r="J11" i="32"/>
  <c r="S188" i="32"/>
  <c r="AB126" i="32"/>
  <c r="J156" i="32"/>
  <c r="S176" i="32"/>
  <c r="J227" i="32"/>
  <c r="S150" i="32"/>
  <c r="S106" i="32"/>
  <c r="S130" i="32"/>
  <c r="S9" i="32"/>
  <c r="AB69" i="32"/>
  <c r="S80" i="32"/>
  <c r="J159" i="32"/>
  <c r="J200" i="32"/>
  <c r="S236" i="32"/>
  <c r="J163" i="32"/>
  <c r="S157" i="32"/>
  <c r="S179" i="32"/>
  <c r="J154" i="32"/>
  <c r="S105" i="32"/>
  <c r="AB45" i="32"/>
  <c r="J72" i="32"/>
  <c r="J115" i="32"/>
  <c r="S25" i="32"/>
  <c r="S244" i="32"/>
  <c r="J208" i="32"/>
  <c r="S194" i="32"/>
  <c r="S35" i="32"/>
  <c r="S240" i="32"/>
  <c r="J14" i="32"/>
  <c r="J16" i="32"/>
  <c r="J36" i="32"/>
  <c r="S16" i="32"/>
  <c r="AB117" i="32"/>
  <c r="J229" i="32"/>
  <c r="J162" i="32"/>
  <c r="S10" i="32"/>
  <c r="S171" i="32"/>
  <c r="AB102" i="32"/>
  <c r="J73" i="32"/>
  <c r="J66" i="32"/>
  <c r="J67" i="32"/>
  <c r="AB17" i="32"/>
  <c r="S19" i="32"/>
  <c r="AB175" i="32"/>
  <c r="AB99" i="32"/>
  <c r="S191" i="32"/>
  <c r="AB29" i="32"/>
  <c r="AB16" i="32"/>
  <c r="J93" i="32"/>
  <c r="AB94" i="32"/>
  <c r="AB124" i="32"/>
  <c r="J47" i="32"/>
  <c r="AB183" i="32"/>
  <c r="J247" i="32"/>
  <c r="J54" i="32"/>
  <c r="J174" i="32"/>
  <c r="J139" i="32"/>
  <c r="J223" i="32"/>
  <c r="J45" i="32"/>
  <c r="J151" i="32"/>
  <c r="S36" i="32"/>
  <c r="S102" i="32"/>
  <c r="S59" i="32"/>
  <c r="J205" i="32"/>
  <c r="J129" i="32"/>
  <c r="J137" i="32"/>
  <c r="AB22" i="32"/>
  <c r="AB177" i="32"/>
  <c r="J178" i="32"/>
  <c r="AB156" i="32"/>
  <c r="S11" i="32"/>
  <c r="AB111" i="32"/>
  <c r="S49" i="32"/>
  <c r="AB92" i="32"/>
  <c r="AB148" i="32"/>
  <c r="AB176" i="32"/>
  <c r="AB144" i="32"/>
  <c r="AB75" i="32"/>
  <c r="J52" i="32"/>
  <c r="AB150" i="32"/>
  <c r="AB28" i="32"/>
  <c r="AB49" i="32"/>
  <c r="AB104" i="32"/>
  <c r="S237" i="32"/>
  <c r="J186" i="32"/>
  <c r="J53" i="32"/>
  <c r="J117" i="32"/>
  <c r="S143" i="32"/>
  <c r="AB158" i="32"/>
  <c r="S147" i="32"/>
  <c r="J29" i="32"/>
  <c r="S123" i="32"/>
  <c r="AB46" i="32"/>
  <c r="J24" i="32"/>
  <c r="S81" i="32"/>
  <c r="S128" i="32"/>
  <c r="S151" i="32"/>
  <c r="S149" i="32"/>
  <c r="S100" i="32"/>
  <c r="AB50" i="32"/>
  <c r="J83" i="32"/>
  <c r="S57" i="32"/>
  <c r="S104" i="32"/>
  <c r="S127" i="32"/>
  <c r="S125" i="32"/>
  <c r="S76" i="32"/>
  <c r="AB61" i="32"/>
  <c r="AB114" i="32"/>
  <c r="S235" i="32"/>
  <c r="AB180" i="32"/>
  <c r="S211" i="32"/>
  <c r="J71" i="32"/>
  <c r="S212" i="32"/>
  <c r="J199" i="32"/>
  <c r="S187" i="32"/>
  <c r="S213" i="32"/>
  <c r="S190" i="32"/>
  <c r="J123" i="32"/>
  <c r="S126" i="32"/>
  <c r="J211" i="32"/>
  <c r="J149" i="32"/>
  <c r="J138" i="32"/>
  <c r="J70" i="32"/>
  <c r="J234" i="32"/>
  <c r="J169" i="32"/>
  <c r="J207" i="32"/>
  <c r="AB113" i="32"/>
  <c r="S33" i="32"/>
  <c r="S103" i="32"/>
  <c r="J12" i="32"/>
  <c r="J28" i="32"/>
  <c r="J94" i="32"/>
  <c r="J226" i="32"/>
  <c r="AB149" i="32"/>
  <c r="S61" i="32"/>
  <c r="J10" i="32"/>
  <c r="J184" i="32"/>
  <c r="S60" i="32"/>
  <c r="AB129" i="32"/>
  <c r="S24" i="32"/>
  <c r="S79" i="32"/>
  <c r="S173" i="32"/>
  <c r="J7" i="32"/>
  <c r="K7" i="32" s="1"/>
  <c r="J102" i="32"/>
  <c r="J155" i="32"/>
  <c r="AB100" i="32"/>
  <c r="AB24" i="32"/>
  <c r="S189" i="32"/>
  <c r="J58" i="32"/>
  <c r="J90" i="32"/>
  <c r="S209" i="32"/>
  <c r="S170" i="32"/>
  <c r="S120" i="32"/>
  <c r="J19" i="32"/>
  <c r="J41" i="32"/>
  <c r="J196" i="32"/>
  <c r="AB122" i="32"/>
  <c r="J187" i="32"/>
  <c r="S231" i="32"/>
  <c r="S141" i="32"/>
  <c r="J195" i="32"/>
  <c r="S45" i="32"/>
  <c r="S94" i="32"/>
  <c r="AB106" i="32"/>
  <c r="S46" i="32"/>
  <c r="S29" i="32"/>
  <c r="J44" i="32"/>
  <c r="AB62" i="32"/>
  <c r="S93" i="32"/>
  <c r="J42" i="32"/>
  <c r="S28" i="32"/>
  <c r="S216" i="32"/>
  <c r="AB101" i="32"/>
  <c r="S7" i="32"/>
  <c r="T7" i="32" s="1"/>
  <c r="S52" i="32"/>
  <c r="S99" i="32"/>
  <c r="J222" i="32"/>
  <c r="J241" i="32"/>
  <c r="S186" i="32"/>
  <c r="J215" i="32"/>
  <c r="S162" i="32"/>
  <c r="J46" i="32"/>
  <c r="AB86" i="32"/>
  <c r="J49" i="32"/>
  <c r="AB93" i="32"/>
  <c r="J148" i="32"/>
  <c r="AB98" i="32"/>
  <c r="J82" i="32"/>
  <c r="AB181" i="32"/>
  <c r="J133" i="32"/>
  <c r="S138" i="32"/>
  <c r="J161" i="32"/>
  <c r="S114" i="32"/>
  <c r="S90" i="32"/>
  <c r="S27" i="32"/>
  <c r="AB163" i="32"/>
  <c r="AB95" i="32"/>
  <c r="S75" i="32"/>
  <c r="S122" i="32"/>
  <c r="AB79" i="32"/>
  <c r="J157" i="32"/>
  <c r="S226" i="32"/>
  <c r="AB72" i="32"/>
  <c r="AB67" i="32"/>
  <c r="S51" i="32"/>
  <c r="S50" i="32"/>
  <c r="S230" i="32"/>
  <c r="J160" i="32"/>
  <c r="J238" i="32"/>
  <c r="S144" i="32"/>
  <c r="J92" i="32"/>
  <c r="AB133" i="32"/>
  <c r="J34" i="32"/>
  <c r="AB169" i="32"/>
  <c r="AB103" i="32"/>
  <c r="J172" i="32"/>
  <c r="S203" i="32"/>
  <c r="J194" i="32"/>
  <c r="AB155" i="32"/>
  <c r="J158" i="32"/>
  <c r="S98" i="32"/>
  <c r="S229" i="32"/>
  <c r="AB97" i="32"/>
  <c r="S116" i="32"/>
  <c r="S73" i="32"/>
  <c r="S228" i="32"/>
  <c r="AB64" i="32"/>
  <c r="J192" i="32"/>
  <c r="AB151" i="32"/>
  <c r="AB66" i="32"/>
  <c r="J179" i="32"/>
  <c r="J177" i="32"/>
  <c r="S210" i="32"/>
  <c r="AB33" i="32"/>
  <c r="J197" i="32"/>
  <c r="AB40" i="32"/>
  <c r="S169" i="32"/>
  <c r="S165" i="32"/>
  <c r="J198" i="32"/>
  <c r="J191" i="32"/>
  <c r="AB108" i="32"/>
  <c r="J146" i="32"/>
  <c r="J168" i="32"/>
  <c r="S208" i="32"/>
  <c r="S66" i="32"/>
  <c r="S119" i="32"/>
  <c r="J239" i="32"/>
  <c r="S70" i="32"/>
  <c r="S2" i="32"/>
  <c r="AB2" i="32" s="1"/>
  <c r="AB53" i="32"/>
  <c r="AB58" i="32"/>
  <c r="AB187" i="32"/>
  <c r="AB153" i="32"/>
  <c r="J243" i="32"/>
  <c r="S206" i="32"/>
  <c r="J180" i="32"/>
  <c r="J64" i="32"/>
  <c r="S202" i="32"/>
  <c r="S117" i="32"/>
  <c r="J127" i="32"/>
  <c r="J59" i="32"/>
  <c r="S44" i="32"/>
  <c r="J182" i="32"/>
  <c r="S232" i="32"/>
  <c r="S92" i="32"/>
  <c r="AB8" i="32"/>
  <c r="AB74" i="32"/>
  <c r="J56" i="32"/>
  <c r="J216" i="32"/>
  <c r="J130" i="32"/>
  <c r="J74" i="32"/>
  <c r="AB178" i="32"/>
  <c r="J221" i="32"/>
  <c r="S227" i="32"/>
  <c r="J63" i="32"/>
  <c r="S67" i="32"/>
  <c r="J153" i="32"/>
  <c r="J135" i="32"/>
  <c r="S137" i="32"/>
  <c r="S113" i="32"/>
  <c r="S185" i="32"/>
  <c r="S161" i="32"/>
  <c r="S42" i="32"/>
  <c r="AB42" i="32"/>
  <c r="J22" i="32"/>
  <c r="S225" i="32"/>
  <c r="S201" i="32"/>
  <c r="AB11" i="32"/>
  <c r="AB137" i="32"/>
  <c r="AB23" i="32"/>
  <c r="AB96" i="32"/>
  <c r="S71" i="32"/>
  <c r="AB185" i="32"/>
  <c r="S121" i="32"/>
  <c r="J171" i="32"/>
  <c r="J214" i="32"/>
  <c r="J126" i="32"/>
  <c r="J189" i="32"/>
  <c r="S214" i="32"/>
  <c r="S37" i="32"/>
  <c r="J185" i="32"/>
  <c r="AB18" i="32"/>
  <c r="S91" i="32"/>
  <c r="J190" i="32"/>
  <c r="S166" i="32"/>
  <c r="J136" i="32"/>
  <c r="J105" i="32"/>
  <c r="J40" i="32"/>
  <c r="J43" i="32"/>
  <c r="S205" i="32"/>
  <c r="J37" i="32"/>
  <c r="S22" i="32"/>
  <c r="J110" i="32"/>
  <c r="J48" i="32"/>
  <c r="AB182" i="32"/>
  <c r="J104" i="32"/>
  <c r="AB112" i="32"/>
  <c r="J246" i="32"/>
  <c r="AB90" i="32"/>
  <c r="J116" i="32"/>
  <c r="S140" i="32"/>
  <c r="AB81" i="32"/>
  <c r="J165" i="32"/>
  <c r="AB27" i="32"/>
  <c r="J77" i="32"/>
  <c r="AB71" i="32"/>
  <c r="J80" i="32"/>
  <c r="J181" i="32"/>
  <c r="J167" i="32"/>
  <c r="S78" i="32"/>
  <c r="S72" i="32"/>
  <c r="S163" i="32"/>
  <c r="AB174" i="32"/>
  <c r="AB19" i="32"/>
  <c r="S238" i="32"/>
  <c r="J121" i="32"/>
  <c r="J202" i="32"/>
  <c r="J88" i="32"/>
  <c r="S146" i="32"/>
  <c r="S18" i="32"/>
  <c r="S89" i="32"/>
  <c r="S17" i="32"/>
  <c r="AB139" i="32"/>
  <c r="S65" i="32"/>
  <c r="AB173" i="32"/>
  <c r="AB147" i="32"/>
  <c r="AB21" i="32"/>
  <c r="AB167" i="32"/>
  <c r="AB59" i="32"/>
  <c r="AB32" i="32"/>
  <c r="J183" i="32"/>
  <c r="AB172" i="32"/>
  <c r="S15" i="32"/>
  <c r="AB145" i="32"/>
  <c r="AB119" i="32"/>
  <c r="J237" i="32"/>
  <c r="S142" i="32"/>
  <c r="J213" i="32"/>
  <c r="S69" i="32"/>
  <c r="AB77" i="32"/>
  <c r="J245" i="32"/>
  <c r="J147" i="32"/>
  <c r="J50" i="32"/>
  <c r="S168" i="32"/>
  <c r="S48" i="32"/>
  <c r="AB123" i="32"/>
  <c r="J220" i="32"/>
  <c r="J150" i="32"/>
  <c r="J144" i="32"/>
  <c r="J100" i="32"/>
  <c r="S167" i="32"/>
  <c r="AB170" i="32"/>
  <c r="J219" i="32"/>
  <c r="J38" i="32"/>
  <c r="S47" i="32"/>
  <c r="J131" i="32"/>
  <c r="AB10" i="32"/>
  <c r="J51" i="32"/>
  <c r="J134" i="32"/>
  <c r="AB131" i="32"/>
  <c r="J242" i="32"/>
  <c r="AB109" i="32"/>
  <c r="J96" i="32"/>
  <c r="S164" i="32"/>
  <c r="AB161" i="32"/>
  <c r="J236" i="32"/>
  <c r="S139" i="32"/>
  <c r="S43" i="32"/>
  <c r="AB157" i="32"/>
  <c r="S112" i="32"/>
  <c r="S64" i="32"/>
  <c r="AB132" i="32"/>
  <c r="AB127" i="32"/>
  <c r="AB166" i="32"/>
  <c r="AB121" i="32"/>
  <c r="AB171" i="32"/>
  <c r="AB65" i="32"/>
  <c r="AB7" i="32"/>
  <c r="AC7" i="32" s="1"/>
  <c r="S224" i="32"/>
  <c r="S200" i="32"/>
  <c r="AB91" i="32"/>
  <c r="S247" i="32"/>
  <c r="J235" i="32"/>
  <c r="J65" i="32"/>
  <c r="J15" i="32"/>
  <c r="J95" i="32"/>
  <c r="J120" i="32"/>
  <c r="J68" i="32"/>
  <c r="J114" i="32"/>
  <c r="J69" i="32"/>
  <c r="S13" i="32"/>
  <c r="AB88" i="32"/>
  <c r="S74" i="32"/>
  <c r="AB13" i="32"/>
  <c r="S234" i="32"/>
  <c r="J91" i="32"/>
  <c r="AB15" i="32"/>
  <c r="S96" i="32"/>
  <c r="AB134" i="32"/>
  <c r="AB80" i="32"/>
  <c r="J244" i="32"/>
  <c r="J145" i="32"/>
  <c r="J108" i="32"/>
  <c r="S95" i="32"/>
  <c r="AB20" i="32"/>
  <c r="AB159" i="32"/>
  <c r="S207" i="32"/>
  <c r="J142" i="32"/>
  <c r="J89" i="32"/>
  <c r="S118" i="32"/>
  <c r="AB85" i="32"/>
  <c r="J119" i="32"/>
  <c r="S30" i="32"/>
  <c r="AB84" i="32"/>
  <c r="J118" i="32"/>
  <c r="T2" i="32"/>
  <c r="AC2" i="32" s="1"/>
  <c r="J218" i="32"/>
  <c r="AB135" i="32"/>
  <c r="S184" i="32"/>
  <c r="J101" i="32"/>
  <c r="J240" i="32"/>
  <c r="J27" i="32"/>
  <c r="AB26" i="32"/>
  <c r="S97" i="32"/>
  <c r="S115" i="32"/>
  <c r="AB38" i="32"/>
  <c r="AB160" i="32"/>
  <c r="S233" i="32"/>
  <c r="J76" i="32"/>
  <c r="AB55" i="32"/>
  <c r="S160" i="32"/>
  <c r="S136" i="32"/>
  <c r="S88" i="32"/>
  <c r="S32" i="32"/>
  <c r="S26" i="32"/>
  <c r="S183" i="32"/>
  <c r="S159" i="32"/>
  <c r="S135" i="32"/>
  <c r="S111" i="32"/>
  <c r="S87" i="32"/>
  <c r="S63" i="32"/>
  <c r="S20" i="32"/>
  <c r="AB116" i="32"/>
  <c r="S41" i="32"/>
  <c r="AB179" i="32"/>
  <c r="AB31" i="32"/>
  <c r="AB165" i="32"/>
  <c r="AB105" i="32"/>
  <c r="AB142" i="32"/>
  <c r="J217" i="32"/>
  <c r="J79" i="32"/>
  <c r="S68" i="32"/>
  <c r="E16" i="62" l="1"/>
  <c r="J15" i="62"/>
  <c r="K15" i="62" s="1"/>
  <c r="T8" i="32"/>
  <c r="T9" i="32" s="1"/>
  <c r="T10" i="32" s="1"/>
  <c r="T11" i="32" s="1"/>
  <c r="T12" i="32" s="1"/>
  <c r="T13" i="32" s="1"/>
  <c r="T14" i="32" s="1"/>
  <c r="T15" i="32" s="1"/>
  <c r="T16" i="32" s="1"/>
  <c r="T17" i="32" s="1"/>
  <c r="T18" i="32" s="1"/>
  <c r="T19" i="32" s="1"/>
  <c r="T20" i="32" s="1"/>
  <c r="T21" i="32" s="1"/>
  <c r="T22" i="32" s="1"/>
  <c r="T23" i="32" s="1"/>
  <c r="T24" i="32" s="1"/>
  <c r="T25" i="32" s="1"/>
  <c r="T26" i="32" s="1"/>
  <c r="T27" i="32" s="1"/>
  <c r="T28" i="32" s="1"/>
  <c r="T29" i="32" s="1"/>
  <c r="T30" i="32" s="1"/>
  <c r="T31" i="32" s="1"/>
  <c r="T32" i="32" s="1"/>
  <c r="T33" i="32" s="1"/>
  <c r="T34" i="32" s="1"/>
  <c r="T35" i="32" s="1"/>
  <c r="T36" i="32" s="1"/>
  <c r="T37" i="32" s="1"/>
  <c r="T38" i="32" s="1"/>
  <c r="T39" i="32" s="1"/>
  <c r="T40" i="32" s="1"/>
  <c r="T41" i="32" s="1"/>
  <c r="T42" i="32" s="1"/>
  <c r="T43" i="32" s="1"/>
  <c r="T44" i="32" s="1"/>
  <c r="T45" i="32" s="1"/>
  <c r="T46" i="32" s="1"/>
  <c r="T47" i="32" s="1"/>
  <c r="T48" i="32" s="1"/>
  <c r="T49" i="32" s="1"/>
  <c r="T50" i="32" s="1"/>
  <c r="T51" i="32" s="1"/>
  <c r="T52" i="32" s="1"/>
  <c r="T53" i="32" s="1"/>
  <c r="T54" i="32" s="1"/>
  <c r="T55" i="32" s="1"/>
  <c r="T56" i="32" s="1"/>
  <c r="T57" i="32" s="1"/>
  <c r="T58" i="32" s="1"/>
  <c r="T59" i="32" s="1"/>
  <c r="T60" i="32" s="1"/>
  <c r="T61" i="32" s="1"/>
  <c r="T62" i="32" s="1"/>
  <c r="T63" i="32" s="1"/>
  <c r="T64" i="32" s="1"/>
  <c r="T65" i="32" s="1"/>
  <c r="T66" i="32" s="1"/>
  <c r="T67" i="32" s="1"/>
  <c r="T68" i="32" s="1"/>
  <c r="T69" i="32" s="1"/>
  <c r="T70" i="32" s="1"/>
  <c r="T71" i="32" s="1"/>
  <c r="T72" i="32" s="1"/>
  <c r="T73" i="32" s="1"/>
  <c r="T74" i="32" s="1"/>
  <c r="T75" i="32" s="1"/>
  <c r="T76" i="32" s="1"/>
  <c r="T77" i="32" s="1"/>
  <c r="T78" i="32" s="1"/>
  <c r="T79" i="32" s="1"/>
  <c r="T80" i="32" s="1"/>
  <c r="T81" i="32" s="1"/>
  <c r="T82" i="32" s="1"/>
  <c r="T83" i="32" s="1"/>
  <c r="T84" i="32" s="1"/>
  <c r="T85" i="32" s="1"/>
  <c r="T86" i="32" s="1"/>
  <c r="T87" i="32" s="1"/>
  <c r="T88" i="32" s="1"/>
  <c r="T89" i="32" s="1"/>
  <c r="T90" i="32" s="1"/>
  <c r="T91" i="32" s="1"/>
  <c r="T92" i="32" s="1"/>
  <c r="T93" i="32" s="1"/>
  <c r="T94" i="32" s="1"/>
  <c r="T95" i="32" s="1"/>
  <c r="T96" i="32" s="1"/>
  <c r="T97" i="32" s="1"/>
  <c r="T98" i="32" s="1"/>
  <c r="T99" i="32" s="1"/>
  <c r="T100" i="32" s="1"/>
  <c r="T101" i="32" s="1"/>
  <c r="T102" i="32" s="1"/>
  <c r="T103" i="32" s="1"/>
  <c r="T104" i="32" s="1"/>
  <c r="T105" i="32" s="1"/>
  <c r="T106" i="32" s="1"/>
  <c r="T107" i="32" s="1"/>
  <c r="T108" i="32" s="1"/>
  <c r="T109" i="32" s="1"/>
  <c r="T110" i="32" s="1"/>
  <c r="T111" i="32" s="1"/>
  <c r="T112" i="32" s="1"/>
  <c r="T113" i="32" s="1"/>
  <c r="T114" i="32" s="1"/>
  <c r="T115" i="32" s="1"/>
  <c r="T116" i="32" s="1"/>
  <c r="T117" i="32" s="1"/>
  <c r="T118" i="32" s="1"/>
  <c r="T119" i="32" s="1"/>
  <c r="T120" i="32" s="1"/>
  <c r="T121" i="32" s="1"/>
  <c r="T122" i="32" s="1"/>
  <c r="T123" i="32" s="1"/>
  <c r="T124" i="32" s="1"/>
  <c r="T125" i="32" s="1"/>
  <c r="T126" i="32" s="1"/>
  <c r="T127" i="32" s="1"/>
  <c r="T128" i="32" s="1"/>
  <c r="T129" i="32" s="1"/>
  <c r="T130" i="32" s="1"/>
  <c r="T131" i="32" s="1"/>
  <c r="T132" i="32" s="1"/>
  <c r="T133" i="32" s="1"/>
  <c r="T134" i="32" s="1"/>
  <c r="T135" i="32" s="1"/>
  <c r="T136" i="32" s="1"/>
  <c r="T137" i="32" s="1"/>
  <c r="T138" i="32" s="1"/>
  <c r="T139" i="32" s="1"/>
  <c r="T140" i="32" s="1"/>
  <c r="T141" i="32" s="1"/>
  <c r="T142" i="32" s="1"/>
  <c r="T143" i="32" s="1"/>
  <c r="T144" i="32" s="1"/>
  <c r="T145" i="32" s="1"/>
  <c r="T146" i="32" s="1"/>
  <c r="T147" i="32" s="1"/>
  <c r="T148" i="32" s="1"/>
  <c r="T149" i="32" s="1"/>
  <c r="T150" i="32" s="1"/>
  <c r="T151" i="32" s="1"/>
  <c r="T152" i="32" s="1"/>
  <c r="T153" i="32" s="1"/>
  <c r="T154" i="32" s="1"/>
  <c r="T155" i="32" s="1"/>
  <c r="T156" i="32" s="1"/>
  <c r="T157" i="32" s="1"/>
  <c r="T158" i="32" s="1"/>
  <c r="T159" i="32" s="1"/>
  <c r="T160" i="32" s="1"/>
  <c r="T161" i="32" s="1"/>
  <c r="T162" i="32" s="1"/>
  <c r="T163" i="32" s="1"/>
  <c r="T164" i="32" s="1"/>
  <c r="T165" i="32" s="1"/>
  <c r="T166" i="32" s="1"/>
  <c r="T167" i="32" s="1"/>
  <c r="T168" i="32" s="1"/>
  <c r="T169" i="32" s="1"/>
  <c r="T170" i="32" s="1"/>
  <c r="T171" i="32" s="1"/>
  <c r="T172" i="32" s="1"/>
  <c r="T173" i="32" s="1"/>
  <c r="T174" i="32" s="1"/>
  <c r="T175" i="32" s="1"/>
  <c r="T176" i="32" s="1"/>
  <c r="T177" i="32" s="1"/>
  <c r="T178" i="32" s="1"/>
  <c r="T179" i="32" s="1"/>
  <c r="T180" i="32" s="1"/>
  <c r="T181" i="32" s="1"/>
  <c r="T182" i="32" s="1"/>
  <c r="T183" i="32" s="1"/>
  <c r="T184" i="32" s="1"/>
  <c r="T185" i="32" s="1"/>
  <c r="T186" i="32" s="1"/>
  <c r="T187" i="32" s="1"/>
  <c r="T188" i="32" s="1"/>
  <c r="T189" i="32" s="1"/>
  <c r="T190" i="32" s="1"/>
  <c r="T191" i="32" s="1"/>
  <c r="T192" i="32" s="1"/>
  <c r="T193" i="32" s="1"/>
  <c r="T194" i="32" s="1"/>
  <c r="T195" i="32" s="1"/>
  <c r="T196" i="32" s="1"/>
  <c r="T197" i="32" s="1"/>
  <c r="T198" i="32" s="1"/>
  <c r="T199" i="32" s="1"/>
  <c r="T200" i="32" s="1"/>
  <c r="T201" i="32" s="1"/>
  <c r="T202" i="32" s="1"/>
  <c r="T203" i="32" s="1"/>
  <c r="T204" i="32" s="1"/>
  <c r="T205" i="32" s="1"/>
  <c r="T206" i="32" s="1"/>
  <c r="T207" i="32" s="1"/>
  <c r="T208" i="32" s="1"/>
  <c r="T209" i="32" s="1"/>
  <c r="T210" i="32" s="1"/>
  <c r="T211" i="32" s="1"/>
  <c r="T212" i="32" s="1"/>
  <c r="T213" i="32" s="1"/>
  <c r="T214" i="32" s="1"/>
  <c r="T215" i="32" s="1"/>
  <c r="T216" i="32" s="1"/>
  <c r="T217" i="32" s="1"/>
  <c r="T218" i="32" s="1"/>
  <c r="T219" i="32" s="1"/>
  <c r="T220" i="32" s="1"/>
  <c r="T221" i="32" s="1"/>
  <c r="T222" i="32" s="1"/>
  <c r="T223" i="32" s="1"/>
  <c r="T224" i="32" s="1"/>
  <c r="T225" i="32" s="1"/>
  <c r="T226" i="32" s="1"/>
  <c r="T227" i="32" s="1"/>
  <c r="T228" i="32" s="1"/>
  <c r="T229" i="32" s="1"/>
  <c r="T230" i="32" s="1"/>
  <c r="T231" i="32" s="1"/>
  <c r="T232" i="32" s="1"/>
  <c r="T233" i="32" s="1"/>
  <c r="T234" i="32" s="1"/>
  <c r="T235" i="32" s="1"/>
  <c r="T236" i="32" s="1"/>
  <c r="T237" i="32" s="1"/>
  <c r="T238" i="32" s="1"/>
  <c r="T239" i="32" s="1"/>
  <c r="T240" i="32" s="1"/>
  <c r="T241" i="32" s="1"/>
  <c r="T242" i="32" s="1"/>
  <c r="T243" i="32" s="1"/>
  <c r="T244" i="32" s="1"/>
  <c r="T245" i="32" s="1"/>
  <c r="T246" i="32" s="1"/>
  <c r="T247" i="32" s="1"/>
  <c r="K8" i="32"/>
  <c r="K9" i="32" s="1"/>
  <c r="K10" i="32" s="1"/>
  <c r="K11" i="32" s="1"/>
  <c r="K12" i="32" s="1"/>
  <c r="K13" i="32" s="1"/>
  <c r="K14" i="32" s="1"/>
  <c r="K15" i="32" s="1"/>
  <c r="K16" i="32" s="1"/>
  <c r="K17" i="32" s="1"/>
  <c r="K18" i="32" s="1"/>
  <c r="K19" i="32" s="1"/>
  <c r="K20" i="32" s="1"/>
  <c r="K21" i="32" s="1"/>
  <c r="K22" i="32" s="1"/>
  <c r="K23" i="32" s="1"/>
  <c r="K24" i="32" s="1"/>
  <c r="K25" i="32" s="1"/>
  <c r="K26" i="32" s="1"/>
  <c r="K27" i="32" s="1"/>
  <c r="K28" i="32" s="1"/>
  <c r="K29" i="32" s="1"/>
  <c r="K30" i="32" s="1"/>
  <c r="K31" i="32" s="1"/>
  <c r="K32" i="32" s="1"/>
  <c r="K33" i="32" s="1"/>
  <c r="K34" i="32" s="1"/>
  <c r="K35" i="32" s="1"/>
  <c r="K36" i="32" s="1"/>
  <c r="K37" i="32" s="1"/>
  <c r="K38" i="32" s="1"/>
  <c r="K39" i="32" s="1"/>
  <c r="K40" i="32" s="1"/>
  <c r="K41" i="32" s="1"/>
  <c r="K42" i="32" s="1"/>
  <c r="K43" i="32" s="1"/>
  <c r="K44" i="32" s="1"/>
  <c r="K45" i="32" s="1"/>
  <c r="K46" i="32" s="1"/>
  <c r="K47" i="32" s="1"/>
  <c r="K48" i="32" s="1"/>
  <c r="K49" i="32" s="1"/>
  <c r="K50" i="32" s="1"/>
  <c r="K51" i="32" s="1"/>
  <c r="K52" i="32" s="1"/>
  <c r="K53" i="32" s="1"/>
  <c r="K54" i="32" s="1"/>
  <c r="K55" i="32" s="1"/>
  <c r="K56" i="32" s="1"/>
  <c r="K57" i="32" s="1"/>
  <c r="K58" i="32" s="1"/>
  <c r="K59" i="32" s="1"/>
  <c r="K60" i="32" s="1"/>
  <c r="K61" i="32" s="1"/>
  <c r="K62" i="32" s="1"/>
  <c r="K63" i="32" s="1"/>
  <c r="K64" i="32" s="1"/>
  <c r="K65" i="32" s="1"/>
  <c r="K66" i="32" s="1"/>
  <c r="K67" i="32" s="1"/>
  <c r="K68" i="32" s="1"/>
  <c r="K69" i="32" s="1"/>
  <c r="K70" i="32" s="1"/>
  <c r="K71" i="32" s="1"/>
  <c r="K72" i="32" s="1"/>
  <c r="K73" i="32" s="1"/>
  <c r="K74" i="32" s="1"/>
  <c r="K75" i="32" s="1"/>
  <c r="K76" i="32" s="1"/>
  <c r="K77" i="32" s="1"/>
  <c r="K78" i="32" s="1"/>
  <c r="K79" i="32" s="1"/>
  <c r="K80" i="32" s="1"/>
  <c r="K81" i="32" s="1"/>
  <c r="K82" i="32" s="1"/>
  <c r="K83" i="32" s="1"/>
  <c r="K84" i="32" s="1"/>
  <c r="K85" i="32" s="1"/>
  <c r="K86" i="32" s="1"/>
  <c r="K87" i="32" s="1"/>
  <c r="K88" i="32" s="1"/>
  <c r="K89" i="32" s="1"/>
  <c r="K90" i="32" s="1"/>
  <c r="K91" i="32" s="1"/>
  <c r="K92" i="32" s="1"/>
  <c r="K93" i="32" s="1"/>
  <c r="K94" i="32" s="1"/>
  <c r="K95" i="32" s="1"/>
  <c r="K96" i="32" s="1"/>
  <c r="K97" i="32" s="1"/>
  <c r="K98" i="32" s="1"/>
  <c r="K99" i="32" s="1"/>
  <c r="K100" i="32" s="1"/>
  <c r="K101" i="32" s="1"/>
  <c r="K102" i="32" s="1"/>
  <c r="K103" i="32" s="1"/>
  <c r="K104" i="32" s="1"/>
  <c r="K105" i="32" s="1"/>
  <c r="K106" i="32" s="1"/>
  <c r="K107" i="32" s="1"/>
  <c r="K108" i="32" s="1"/>
  <c r="K109" i="32" s="1"/>
  <c r="K110" i="32" s="1"/>
  <c r="K111" i="32" s="1"/>
  <c r="K112" i="32" s="1"/>
  <c r="K113" i="32" s="1"/>
  <c r="K114" i="32" s="1"/>
  <c r="K115" i="32" s="1"/>
  <c r="K116" i="32" s="1"/>
  <c r="K117" i="32" s="1"/>
  <c r="K118" i="32" s="1"/>
  <c r="K119" i="32" s="1"/>
  <c r="K120" i="32" s="1"/>
  <c r="K121" i="32" s="1"/>
  <c r="K122" i="32" s="1"/>
  <c r="K123" i="32" s="1"/>
  <c r="K124" i="32" s="1"/>
  <c r="K125" i="32" s="1"/>
  <c r="K126" i="32" s="1"/>
  <c r="K127" i="32" s="1"/>
  <c r="K128" i="32" s="1"/>
  <c r="K129" i="32" s="1"/>
  <c r="K130" i="32" s="1"/>
  <c r="K131" i="32" s="1"/>
  <c r="K132" i="32" s="1"/>
  <c r="K133" i="32" s="1"/>
  <c r="K134" i="32" s="1"/>
  <c r="K135" i="32" s="1"/>
  <c r="K136" i="32" s="1"/>
  <c r="K137" i="32" s="1"/>
  <c r="K138" i="32" s="1"/>
  <c r="K139" i="32" s="1"/>
  <c r="K140" i="32" s="1"/>
  <c r="K141" i="32" s="1"/>
  <c r="K142" i="32" s="1"/>
  <c r="K143" i="32" s="1"/>
  <c r="K144" i="32" s="1"/>
  <c r="K145" i="32" s="1"/>
  <c r="K146" i="32" s="1"/>
  <c r="K147" i="32" s="1"/>
  <c r="K148" i="32" s="1"/>
  <c r="K149" i="32" s="1"/>
  <c r="K150" i="32" s="1"/>
  <c r="K151" i="32" s="1"/>
  <c r="K152" i="32" s="1"/>
  <c r="K153" i="32" s="1"/>
  <c r="K154" i="32" s="1"/>
  <c r="K155" i="32" s="1"/>
  <c r="K156" i="32" s="1"/>
  <c r="K157" i="32" s="1"/>
  <c r="K158" i="32" s="1"/>
  <c r="K159" i="32" s="1"/>
  <c r="K160" i="32" s="1"/>
  <c r="K161" i="32" s="1"/>
  <c r="K162" i="32" s="1"/>
  <c r="K163" i="32" s="1"/>
  <c r="K164" i="32" s="1"/>
  <c r="K165" i="32" s="1"/>
  <c r="K166" i="32" s="1"/>
  <c r="K167" i="32" s="1"/>
  <c r="K168" i="32" s="1"/>
  <c r="K169" i="32" s="1"/>
  <c r="K170" i="32" s="1"/>
  <c r="K171" i="32" s="1"/>
  <c r="K172" i="32" s="1"/>
  <c r="K173" i="32" s="1"/>
  <c r="K174" i="32" s="1"/>
  <c r="K175" i="32" s="1"/>
  <c r="K176" i="32" s="1"/>
  <c r="K177" i="32" s="1"/>
  <c r="K178" i="32" s="1"/>
  <c r="K179" i="32" s="1"/>
  <c r="K180" i="32" s="1"/>
  <c r="K181" i="32" s="1"/>
  <c r="K182" i="32" s="1"/>
  <c r="K183" i="32" s="1"/>
  <c r="K184" i="32" s="1"/>
  <c r="K185" i="32" s="1"/>
  <c r="K186" i="32" s="1"/>
  <c r="K187" i="32" s="1"/>
  <c r="K188" i="32" s="1"/>
  <c r="K189" i="32" s="1"/>
  <c r="K190" i="32" s="1"/>
  <c r="K191" i="32" s="1"/>
  <c r="K192" i="32" s="1"/>
  <c r="K193" i="32" s="1"/>
  <c r="K194" i="32" s="1"/>
  <c r="K195" i="32" s="1"/>
  <c r="K196" i="32" s="1"/>
  <c r="K197" i="32" s="1"/>
  <c r="K198" i="32" s="1"/>
  <c r="K199" i="32" s="1"/>
  <c r="K200" i="32" s="1"/>
  <c r="K201" i="32" s="1"/>
  <c r="K202" i="32" s="1"/>
  <c r="K203" i="32" s="1"/>
  <c r="K204" i="32" s="1"/>
  <c r="K205" i="32" s="1"/>
  <c r="K206" i="32" s="1"/>
  <c r="K207" i="32" s="1"/>
  <c r="K208" i="32" s="1"/>
  <c r="K209" i="32" s="1"/>
  <c r="K210" i="32" s="1"/>
  <c r="K211" i="32" s="1"/>
  <c r="K212" i="32" s="1"/>
  <c r="K213" i="32" s="1"/>
  <c r="K214" i="32" s="1"/>
  <c r="K215" i="32" s="1"/>
  <c r="K216" i="32" s="1"/>
  <c r="K217" i="32" s="1"/>
  <c r="K218" i="32" s="1"/>
  <c r="K219" i="32" s="1"/>
  <c r="K220" i="32" s="1"/>
  <c r="K221" i="32" s="1"/>
  <c r="K222" i="32" s="1"/>
  <c r="K223" i="32" s="1"/>
  <c r="K224" i="32" s="1"/>
  <c r="K225" i="32" s="1"/>
  <c r="K226" i="32" s="1"/>
  <c r="K227" i="32" s="1"/>
  <c r="K228" i="32" s="1"/>
  <c r="K229" i="32" s="1"/>
  <c r="K230" i="32" s="1"/>
  <c r="K231" i="32" s="1"/>
  <c r="K232" i="32" s="1"/>
  <c r="K233" i="32" s="1"/>
  <c r="K234" i="32" s="1"/>
  <c r="K235" i="32" s="1"/>
  <c r="K236" i="32" s="1"/>
  <c r="K237" i="32" s="1"/>
  <c r="K238" i="32" s="1"/>
  <c r="K239" i="32" s="1"/>
  <c r="K240" i="32" s="1"/>
  <c r="K241" i="32" s="1"/>
  <c r="K242" i="32" s="1"/>
  <c r="K243" i="32" s="1"/>
  <c r="K244" i="32" s="1"/>
  <c r="K245" i="32" s="1"/>
  <c r="K246" i="32" s="1"/>
  <c r="K247" i="32" s="1"/>
  <c r="AC8" i="32"/>
  <c r="AC9" i="32" s="1"/>
  <c r="AC10" i="32" s="1"/>
  <c r="AC11" i="32" s="1"/>
  <c r="AC12" i="32" s="1"/>
  <c r="AC13" i="32" s="1"/>
  <c r="AC14" i="32" s="1"/>
  <c r="AC15" i="32" s="1"/>
  <c r="AC16" i="32" s="1"/>
  <c r="AC17" i="32" s="1"/>
  <c r="AC18" i="32" s="1"/>
  <c r="AC19" i="32" s="1"/>
  <c r="AC20" i="32" s="1"/>
  <c r="AC21" i="32" s="1"/>
  <c r="AC22" i="32" s="1"/>
  <c r="AC23" i="32" s="1"/>
  <c r="AC24" i="32" s="1"/>
  <c r="AC25" i="32" s="1"/>
  <c r="AC26" i="32" s="1"/>
  <c r="AC27" i="32" s="1"/>
  <c r="AC28" i="32" s="1"/>
  <c r="AC29" i="32" s="1"/>
  <c r="AC30" i="32" s="1"/>
  <c r="AC31" i="32" s="1"/>
  <c r="AC32" i="32" s="1"/>
  <c r="AC33" i="32" s="1"/>
  <c r="AC34" i="32" s="1"/>
  <c r="AC35" i="32" s="1"/>
  <c r="AC36" i="32" s="1"/>
  <c r="AC37" i="32" s="1"/>
  <c r="AC38" i="32" s="1"/>
  <c r="AC39" i="32" s="1"/>
  <c r="AC40" i="32" s="1"/>
  <c r="AC41" i="32" s="1"/>
  <c r="AC42" i="32" s="1"/>
  <c r="AC43" i="32" s="1"/>
  <c r="AC44" i="32" s="1"/>
  <c r="AC45" i="32" s="1"/>
  <c r="AC46" i="32" s="1"/>
  <c r="AC47" i="32" s="1"/>
  <c r="AC48" i="32" s="1"/>
  <c r="AC49" i="32" s="1"/>
  <c r="AC50" i="32" s="1"/>
  <c r="AC51" i="32" s="1"/>
  <c r="AC52" i="32" s="1"/>
  <c r="AC53" i="32" s="1"/>
  <c r="AC54" i="32" s="1"/>
  <c r="AC55" i="32" s="1"/>
  <c r="AC56" i="32" s="1"/>
  <c r="AC57" i="32" s="1"/>
  <c r="AC58" i="32" s="1"/>
  <c r="AC59" i="32" s="1"/>
  <c r="AC60" i="32" s="1"/>
  <c r="AC61" i="32" s="1"/>
  <c r="AC62" i="32" s="1"/>
  <c r="AC63" i="32" s="1"/>
  <c r="AC64" i="32" s="1"/>
  <c r="AC65" i="32" s="1"/>
  <c r="AC66" i="32" s="1"/>
  <c r="AC67" i="32" s="1"/>
  <c r="AC68" i="32" s="1"/>
  <c r="AC69" i="32" s="1"/>
  <c r="AC70" i="32" s="1"/>
  <c r="AC71" i="32" s="1"/>
  <c r="AC72" i="32" s="1"/>
  <c r="AC73" i="32" s="1"/>
  <c r="AC74" i="32" s="1"/>
  <c r="AC75" i="32" s="1"/>
  <c r="AC76" i="32" s="1"/>
  <c r="AC77" i="32" s="1"/>
  <c r="AC78" i="32" s="1"/>
  <c r="AC79" i="32" s="1"/>
  <c r="AC80" i="32" s="1"/>
  <c r="AC81" i="32" s="1"/>
  <c r="AC82" i="32" s="1"/>
  <c r="AC83" i="32" s="1"/>
  <c r="AC84" i="32" s="1"/>
  <c r="AC85" i="32" s="1"/>
  <c r="AC86" i="32" s="1"/>
  <c r="AC87" i="32" s="1"/>
  <c r="AC88" i="32" s="1"/>
  <c r="AC89" i="32" s="1"/>
  <c r="AC90" i="32" s="1"/>
  <c r="AC91" i="32" s="1"/>
  <c r="AC92" i="32" s="1"/>
  <c r="AC93" i="32" s="1"/>
  <c r="AC94" i="32" s="1"/>
  <c r="AC95" i="32" s="1"/>
  <c r="AC96" i="32" s="1"/>
  <c r="AC97" i="32" s="1"/>
  <c r="AC98" i="32" s="1"/>
  <c r="AC99" i="32" s="1"/>
  <c r="AC100" i="32" s="1"/>
  <c r="AC101" i="32" s="1"/>
  <c r="AC102" i="32" s="1"/>
  <c r="AC103" i="32" s="1"/>
  <c r="AC104" i="32" s="1"/>
  <c r="AC105" i="32" s="1"/>
  <c r="AC106" i="32" s="1"/>
  <c r="AC107" i="32" s="1"/>
  <c r="AC108" i="32" s="1"/>
  <c r="AC109" i="32" s="1"/>
  <c r="AC110" i="32" s="1"/>
  <c r="AC111" i="32" s="1"/>
  <c r="AC112" i="32" s="1"/>
  <c r="AC113" i="32" s="1"/>
  <c r="AC114" i="32" s="1"/>
  <c r="AC115" i="32" s="1"/>
  <c r="AC116" i="32" s="1"/>
  <c r="AC117" i="32" s="1"/>
  <c r="AC118" i="32" s="1"/>
  <c r="AC119" i="32" s="1"/>
  <c r="AC120" i="32" s="1"/>
  <c r="AC121" i="32" s="1"/>
  <c r="AC122" i="32" s="1"/>
  <c r="AC123" i="32" s="1"/>
  <c r="AC124" i="32" s="1"/>
  <c r="AC125" i="32" s="1"/>
  <c r="AC126" i="32" s="1"/>
  <c r="AC127" i="32" s="1"/>
  <c r="AC128" i="32" s="1"/>
  <c r="AC129" i="32" s="1"/>
  <c r="AC130" i="32" s="1"/>
  <c r="AC131" i="32" s="1"/>
  <c r="AC132" i="32" s="1"/>
  <c r="AC133" i="32" s="1"/>
  <c r="AC134" i="32" s="1"/>
  <c r="AC135" i="32" s="1"/>
  <c r="AC136" i="32" s="1"/>
  <c r="AC137" i="32" s="1"/>
  <c r="AC138" i="32" s="1"/>
  <c r="AC139" i="32" s="1"/>
  <c r="AC140" i="32" s="1"/>
  <c r="AC141" i="32" s="1"/>
  <c r="AC142" i="32" s="1"/>
  <c r="AC143" i="32" s="1"/>
  <c r="AC144" i="32" s="1"/>
  <c r="AC145" i="32" s="1"/>
  <c r="AC146" i="32" s="1"/>
  <c r="AC147" i="32" s="1"/>
  <c r="AC148" i="32" s="1"/>
  <c r="AC149" i="32" s="1"/>
  <c r="AC150" i="32" s="1"/>
  <c r="AC151" i="32" s="1"/>
  <c r="AC152" i="32" s="1"/>
  <c r="AC153" i="32" s="1"/>
  <c r="AC154" i="32" s="1"/>
  <c r="AC155" i="32" s="1"/>
  <c r="AC156" i="32" s="1"/>
  <c r="AC157" i="32" s="1"/>
  <c r="AC158" i="32" s="1"/>
  <c r="AC159" i="32" s="1"/>
  <c r="AC160" i="32" s="1"/>
  <c r="AC161" i="32" s="1"/>
  <c r="AC162" i="32" s="1"/>
  <c r="AC163" i="32" s="1"/>
  <c r="AC164" i="32" s="1"/>
  <c r="AC165" i="32" s="1"/>
  <c r="AC166" i="32" s="1"/>
  <c r="AC167" i="32" s="1"/>
  <c r="AC168" i="32" s="1"/>
  <c r="AC169" i="32" s="1"/>
  <c r="AC170" i="32" s="1"/>
  <c r="AC171" i="32" s="1"/>
  <c r="AC172" i="32" s="1"/>
  <c r="AC173" i="32" s="1"/>
  <c r="AC174" i="32" s="1"/>
  <c r="AC175" i="32" s="1"/>
  <c r="AC176" i="32" s="1"/>
  <c r="AC177" i="32" s="1"/>
  <c r="AC178" i="32" s="1"/>
  <c r="AC179" i="32" s="1"/>
  <c r="AC180" i="32" s="1"/>
  <c r="AC181" i="32" s="1"/>
  <c r="AC182" i="32" s="1"/>
  <c r="AC183" i="32" s="1"/>
  <c r="AC184" i="32" s="1"/>
  <c r="AC185" i="32" s="1"/>
  <c r="AC186" i="32" s="1"/>
  <c r="AC187" i="32" s="1"/>
  <c r="E17" i="62" l="1"/>
  <c r="J16" i="62"/>
  <c r="K16" i="62" s="1"/>
  <c r="E18" i="62" l="1"/>
  <c r="J17" i="62"/>
  <c r="K17" i="62" s="1"/>
  <c r="Q17" i="33"/>
  <c r="T17" i="33" s="1"/>
  <c r="I3" i="33"/>
  <c r="L3" i="33" s="1"/>
  <c r="Q3" i="33"/>
  <c r="T3" i="33" s="1"/>
  <c r="I26" i="33"/>
  <c r="L26" i="33" s="1"/>
  <c r="Q24" i="33"/>
  <c r="T24" i="33" s="1"/>
  <c r="Q18" i="33"/>
  <c r="T18" i="33" s="1"/>
  <c r="I16" i="33"/>
  <c r="L16" i="33" s="1"/>
  <c r="Q16" i="33"/>
  <c r="T16" i="33" s="1"/>
  <c r="I23" i="33"/>
  <c r="L23" i="33" s="1"/>
  <c r="I22" i="33"/>
  <c r="L22" i="33" s="1"/>
  <c r="Q22" i="33"/>
  <c r="T22" i="33" s="1"/>
  <c r="Q21" i="33"/>
  <c r="T21" i="33" s="1"/>
  <c r="I15" i="33"/>
  <c r="L15" i="33" s="1"/>
  <c r="I25" i="33"/>
  <c r="L25" i="33" s="1"/>
  <c r="Q23" i="33"/>
  <c r="T23" i="33" s="1"/>
  <c r="I24" i="33"/>
  <c r="L24" i="33" s="1"/>
  <c r="I21" i="33"/>
  <c r="L21" i="33" s="1"/>
  <c r="I14" i="33"/>
  <c r="L14" i="33" s="1"/>
  <c r="I20" i="33"/>
  <c r="L20" i="33" s="1"/>
  <c r="Q26" i="33"/>
  <c r="T26" i="33" s="1"/>
  <c r="Q28" i="33"/>
  <c r="T28" i="33" s="1"/>
  <c r="Q27" i="33"/>
  <c r="T27" i="33" s="1"/>
  <c r="I28" i="33"/>
  <c r="L28" i="33" s="1"/>
  <c r="I27" i="33"/>
  <c r="L27" i="33" s="1"/>
  <c r="Q35" i="33"/>
  <c r="T35" i="33" s="1"/>
  <c r="I8" i="33"/>
  <c r="L8" i="33" s="1"/>
  <c r="I17" i="33"/>
  <c r="L17" i="33" s="1"/>
  <c r="I9" i="33"/>
  <c r="L9" i="33" s="1"/>
  <c r="Q11" i="33"/>
  <c r="T11" i="33" s="1"/>
  <c r="I12" i="33"/>
  <c r="L12" i="33" s="1"/>
  <c r="Q12" i="33"/>
  <c r="T12" i="33" s="1"/>
  <c r="Q5" i="33"/>
  <c r="T5" i="33" s="1"/>
  <c r="Q9" i="33"/>
  <c r="T9" i="33" s="1"/>
  <c r="Q7" i="33"/>
  <c r="T7" i="33" s="1"/>
  <c r="I6" i="33"/>
  <c r="L6" i="33" s="1"/>
  <c r="I19" i="33"/>
  <c r="L19" i="33" s="1"/>
  <c r="Q15" i="33"/>
  <c r="T15" i="33" s="1"/>
  <c r="Q19" i="33"/>
  <c r="T19" i="33" s="1"/>
  <c r="I11" i="33"/>
  <c r="L11" i="33" s="1"/>
  <c r="Q14" i="33"/>
  <c r="T14" i="33" s="1"/>
  <c r="Q10" i="33"/>
  <c r="T10" i="33" s="1"/>
  <c r="I7" i="33"/>
  <c r="L7" i="33" s="1"/>
  <c r="Q4" i="33"/>
  <c r="T4" i="33" s="1"/>
  <c r="I10" i="33"/>
  <c r="L10" i="33" s="1"/>
  <c r="I5" i="33"/>
  <c r="L5" i="33" s="1"/>
  <c r="Q6" i="33"/>
  <c r="T6" i="33" s="1"/>
  <c r="Q13" i="33"/>
  <c r="T13" i="33" s="1"/>
  <c r="I18" i="33"/>
  <c r="L18" i="33" s="1"/>
  <c r="Q8" i="33"/>
  <c r="T8" i="33" s="1"/>
  <c r="I4" i="33"/>
  <c r="L4" i="33" s="1"/>
  <c r="I13" i="33"/>
  <c r="L13" i="33" s="1"/>
  <c r="Q20" i="33"/>
  <c r="T20" i="33" s="1"/>
  <c r="Q29" i="33"/>
  <c r="T29" i="33" s="1"/>
  <c r="Q25" i="33"/>
  <c r="T25" i="33" s="1"/>
  <c r="Q30" i="33"/>
  <c r="T30" i="33" s="1"/>
  <c r="I30" i="33"/>
  <c r="L30" i="33" s="1"/>
  <c r="I29" i="33"/>
  <c r="L29" i="33" s="1"/>
  <c r="Q31" i="33"/>
  <c r="T31" i="33" s="1"/>
  <c r="I33" i="33"/>
  <c r="L33" i="33" s="1"/>
  <c r="I31" i="33"/>
  <c r="L31" i="33" s="1"/>
  <c r="Q32" i="33"/>
  <c r="T32" i="33" s="1"/>
  <c r="I32" i="33"/>
  <c r="L32" i="33" s="1"/>
  <c r="Q33" i="33"/>
  <c r="T33" i="33" s="1"/>
  <c r="I34" i="33"/>
  <c r="L34" i="33" s="1"/>
  <c r="Q34" i="33"/>
  <c r="T34" i="33" s="1"/>
  <c r="Q37" i="33"/>
  <c r="T37" i="33" s="1"/>
  <c r="I36" i="33"/>
  <c r="L36" i="33" s="1"/>
  <c r="I35" i="33"/>
  <c r="L35" i="33" s="1"/>
  <c r="Q36" i="33"/>
  <c r="T36" i="33" s="1"/>
  <c r="I37" i="33"/>
  <c r="L37" i="33" s="1"/>
  <c r="Q38" i="33"/>
  <c r="T38" i="33" s="1"/>
  <c r="Q41" i="33"/>
  <c r="T41" i="33" s="1"/>
  <c r="I43" i="33"/>
  <c r="L43" i="33" s="1"/>
  <c r="I38" i="33"/>
  <c r="L38" i="33" s="1"/>
  <c r="Q42" i="33"/>
  <c r="T42" i="33" s="1"/>
  <c r="I40" i="33"/>
  <c r="L40" i="33" s="1"/>
  <c r="Q39" i="33"/>
  <c r="T39" i="33" s="1"/>
  <c r="I39" i="33"/>
  <c r="L39" i="33" s="1"/>
  <c r="Q43" i="33"/>
  <c r="T43" i="33" s="1"/>
  <c r="I42" i="33"/>
  <c r="L42" i="33" s="1"/>
  <c r="Q40" i="33"/>
  <c r="T40" i="33" s="1"/>
  <c r="I41" i="33"/>
  <c r="L41" i="33" s="1"/>
  <c r="I57" i="33"/>
  <c r="L57" i="33" s="1"/>
  <c r="I50" i="33"/>
  <c r="L50" i="33" s="1"/>
  <c r="Q57" i="33"/>
  <c r="T57" i="33" s="1"/>
  <c r="I61" i="33"/>
  <c r="L61" i="33" s="1"/>
  <c r="Q54" i="33"/>
  <c r="T54" i="33" s="1"/>
  <c r="Q46" i="33"/>
  <c r="T46" i="33" s="1"/>
  <c r="Q50" i="33"/>
  <c r="T50" i="33" s="1"/>
  <c r="Q49" i="33"/>
  <c r="T49" i="33" s="1"/>
  <c r="Q61" i="33"/>
  <c r="T61" i="33" s="1"/>
  <c r="I59" i="33"/>
  <c r="L59" i="33" s="1"/>
  <c r="I48" i="33"/>
  <c r="L48" i="33" s="1"/>
  <c r="Q58" i="33"/>
  <c r="T58" i="33" s="1"/>
  <c r="I56" i="33"/>
  <c r="L56" i="33" s="1"/>
  <c r="I52" i="33"/>
  <c r="L52" i="33" s="1"/>
  <c r="I45" i="33"/>
  <c r="L45" i="33" s="1"/>
  <c r="I55" i="33"/>
  <c r="L55" i="33" s="1"/>
  <c r="Q59" i="33"/>
  <c r="T59" i="33" s="1"/>
  <c r="Q55" i="33"/>
  <c r="T55" i="33" s="1"/>
  <c r="Q56" i="33"/>
  <c r="T56" i="33" s="1"/>
  <c r="Q53" i="33"/>
  <c r="T53" i="33" s="1"/>
  <c r="I58" i="33"/>
  <c r="L58" i="33" s="1"/>
  <c r="I54" i="33"/>
  <c r="L54" i="33" s="1"/>
  <c r="Q48" i="33"/>
  <c r="T48" i="33" s="1"/>
  <c r="Q60" i="33"/>
  <c r="T60" i="33" s="1"/>
  <c r="I49" i="33"/>
  <c r="L49" i="33" s="1"/>
  <c r="Q45" i="33"/>
  <c r="T45" i="33" s="1"/>
  <c r="I46" i="33"/>
  <c r="L46" i="33" s="1"/>
  <c r="Q52" i="33"/>
  <c r="T52" i="33" s="1"/>
  <c r="I44" i="33"/>
  <c r="L44" i="33" s="1"/>
  <c r="I53" i="33"/>
  <c r="L53" i="33" s="1"/>
  <c r="I60" i="33"/>
  <c r="L60" i="33" s="1"/>
  <c r="Q51" i="33"/>
  <c r="T51" i="33" s="1"/>
  <c r="I47" i="33"/>
  <c r="L47" i="33" s="1"/>
  <c r="I51" i="33"/>
  <c r="L51" i="33" s="1"/>
  <c r="Q44" i="33"/>
  <c r="T44" i="33" s="1"/>
  <c r="Q47" i="33"/>
  <c r="T47" i="33" s="1"/>
  <c r="E19" i="62" l="1"/>
  <c r="J18" i="62"/>
  <c r="K18" i="62" s="1"/>
  <c r="L62" i="33"/>
  <c r="E9" i="34" s="1"/>
  <c r="I62" i="33"/>
  <c r="T62" i="33"/>
  <c r="E10" i="34" s="1"/>
  <c r="Q62" i="33"/>
  <c r="E20" i="62" l="1"/>
  <c r="J19" i="62"/>
  <c r="K19" i="62" s="1"/>
  <c r="E11" i="34"/>
  <c r="E12" i="34"/>
  <c r="E21" i="62" l="1"/>
  <c r="J20" i="62"/>
  <c r="K20" i="62" s="1"/>
  <c r="E16" i="34"/>
  <c r="C31" i="40"/>
  <c r="C25" i="40"/>
  <c r="C13" i="38"/>
  <c r="C3" i="36"/>
  <c r="E22" i="62" l="1"/>
  <c r="J21" i="62"/>
  <c r="K21" i="62" s="1"/>
  <c r="C32" i="40"/>
  <c r="C26" i="40"/>
  <c r="C21" i="40"/>
  <c r="C14" i="38"/>
  <c r="F7" i="37" s="1"/>
  <c r="F7" i="35"/>
  <c r="N66" i="32"/>
  <c r="N102" i="32"/>
  <c r="N90" i="32"/>
  <c r="N36" i="32"/>
  <c r="E23" i="62" l="1"/>
  <c r="J22" i="62"/>
  <c r="K22" i="62" s="1"/>
  <c r="N42" i="32"/>
  <c r="N78" i="32"/>
  <c r="N174" i="32"/>
  <c r="N186" i="32"/>
  <c r="N6" i="32"/>
  <c r="N150" i="32"/>
  <c r="N54" i="32"/>
  <c r="N30" i="32"/>
  <c r="N126" i="32"/>
  <c r="B53" i="31"/>
  <c r="N18" i="32"/>
  <c r="P18" i="32" s="1"/>
  <c r="P19" i="32" s="1"/>
  <c r="P20" i="32" s="1"/>
  <c r="P21" i="32" s="1"/>
  <c r="P22" i="32" s="1"/>
  <c r="P23" i="32" s="1"/>
  <c r="P24" i="32" s="1"/>
  <c r="P25" i="32" s="1"/>
  <c r="P26" i="32" s="1"/>
  <c r="P27" i="32" s="1"/>
  <c r="P28" i="32" s="1"/>
  <c r="P29" i="32" s="1"/>
  <c r="AH6" i="32"/>
  <c r="N114" i="32"/>
  <c r="W6" i="32"/>
  <c r="E17" i="34"/>
  <c r="C27" i="40" s="1"/>
  <c r="F6" i="35"/>
  <c r="F8" i="35" s="1"/>
  <c r="E24" i="62" l="1"/>
  <c r="J23" i="62"/>
  <c r="K23" i="62" s="1"/>
  <c r="P30" i="32"/>
  <c r="P31" i="32" s="1"/>
  <c r="P32" i="32" s="1"/>
  <c r="P33" i="32" s="1"/>
  <c r="P34" i="32" s="1"/>
  <c r="P35" i="32" s="1"/>
  <c r="P36" i="32" s="1"/>
  <c r="P37" i="32" s="1"/>
  <c r="P38" i="32" s="1"/>
  <c r="P39" i="32" s="1"/>
  <c r="P40" i="32" s="1"/>
  <c r="P41" i="32" s="1"/>
  <c r="P42" i="32" s="1"/>
  <c r="P43" i="32" s="1"/>
  <c r="P44" i="32" s="1"/>
  <c r="P45" i="32" s="1"/>
  <c r="P46" i="32" s="1"/>
  <c r="P47" i="32" s="1"/>
  <c r="P48" i="32" s="1"/>
  <c r="P49" i="32" s="1"/>
  <c r="P50" i="32" s="1"/>
  <c r="P51" i="32" s="1"/>
  <c r="P52" i="32" s="1"/>
  <c r="P53" i="32" s="1"/>
  <c r="P54" i="32" s="1"/>
  <c r="P55" i="32" s="1"/>
  <c r="P56" i="32" s="1"/>
  <c r="P57" i="32" s="1"/>
  <c r="P58" i="32" s="1"/>
  <c r="P59" i="32" s="1"/>
  <c r="P60" i="32" s="1"/>
  <c r="P61" i="32" s="1"/>
  <c r="P62" i="32" s="1"/>
  <c r="P63" i="32" s="1"/>
  <c r="P64" i="32" s="1"/>
  <c r="P65" i="32" s="1"/>
  <c r="P66" i="32" s="1"/>
  <c r="P67" i="32" s="1"/>
  <c r="P68" i="32" s="1"/>
  <c r="P69" i="32" s="1"/>
  <c r="P70" i="32" s="1"/>
  <c r="P71" i="32" s="1"/>
  <c r="P72" i="32" s="1"/>
  <c r="P73" i="32" s="1"/>
  <c r="P74" i="32" s="1"/>
  <c r="P75" i="32" s="1"/>
  <c r="P76" i="32" s="1"/>
  <c r="P77" i="32" s="1"/>
  <c r="P78" i="32" s="1"/>
  <c r="P79" i="32" s="1"/>
  <c r="P80" i="32" s="1"/>
  <c r="P81" i="32" s="1"/>
  <c r="P82" i="32" s="1"/>
  <c r="P83" i="32" s="1"/>
  <c r="P84" i="32" s="1"/>
  <c r="P85" i="32" s="1"/>
  <c r="P86" i="32" s="1"/>
  <c r="P87" i="32" s="1"/>
  <c r="P88" i="32" s="1"/>
  <c r="P89" i="32" s="1"/>
  <c r="P90" i="32" s="1"/>
  <c r="P91" i="32" s="1"/>
  <c r="P92" i="32" s="1"/>
  <c r="P93" i="32" s="1"/>
  <c r="P94" i="32" s="1"/>
  <c r="P95" i="32" s="1"/>
  <c r="P96" i="32" s="1"/>
  <c r="P97" i="32" s="1"/>
  <c r="P98" i="32" s="1"/>
  <c r="P99" i="32" s="1"/>
  <c r="P100" i="32" s="1"/>
  <c r="P101" i="32" s="1"/>
  <c r="P102" i="32" s="1"/>
  <c r="P103" i="32" s="1"/>
  <c r="P104" i="32" s="1"/>
  <c r="P105" i="32" s="1"/>
  <c r="P106" i="32" s="1"/>
  <c r="P107" i="32" s="1"/>
  <c r="P108" i="32" s="1"/>
  <c r="P109" i="32" s="1"/>
  <c r="P110" i="32" s="1"/>
  <c r="P111" i="32" s="1"/>
  <c r="P112" i="32" s="1"/>
  <c r="P113" i="32" s="1"/>
  <c r="P114" i="32" s="1"/>
  <c r="P115" i="32" s="1"/>
  <c r="P116" i="32" s="1"/>
  <c r="P117" i="32" s="1"/>
  <c r="P118" i="32" s="1"/>
  <c r="P119" i="32" s="1"/>
  <c r="P120" i="32" s="1"/>
  <c r="P121" i="32" s="1"/>
  <c r="P122" i="32" s="1"/>
  <c r="P123" i="32" s="1"/>
  <c r="P124" i="32" s="1"/>
  <c r="P125" i="32" s="1"/>
  <c r="P126" i="32" s="1"/>
  <c r="P127" i="32" s="1"/>
  <c r="P128" i="32" s="1"/>
  <c r="P129" i="32" s="1"/>
  <c r="P130" i="32" s="1"/>
  <c r="P131" i="32" s="1"/>
  <c r="P132" i="32" s="1"/>
  <c r="P133" i="32" s="1"/>
  <c r="P134" i="32" s="1"/>
  <c r="P135" i="32" s="1"/>
  <c r="P136" i="32" s="1"/>
  <c r="P137" i="32" s="1"/>
  <c r="P138" i="32" s="1"/>
  <c r="P139" i="32" s="1"/>
  <c r="P140" i="32" s="1"/>
  <c r="P141" i="32" s="1"/>
  <c r="P142" i="32" s="1"/>
  <c r="P143" i="32" s="1"/>
  <c r="P144" i="32" s="1"/>
  <c r="P145" i="32" s="1"/>
  <c r="P146" i="32" s="1"/>
  <c r="P147" i="32" s="1"/>
  <c r="P148" i="32" s="1"/>
  <c r="P149" i="32" s="1"/>
  <c r="P150" i="32" s="1"/>
  <c r="P151" i="32" s="1"/>
  <c r="P152" i="32" s="1"/>
  <c r="P153" i="32" s="1"/>
  <c r="P154" i="32" s="1"/>
  <c r="P155" i="32" s="1"/>
  <c r="P156" i="32" s="1"/>
  <c r="P157" i="32" s="1"/>
  <c r="P158" i="32" s="1"/>
  <c r="P159" i="32" s="1"/>
  <c r="P160" i="32" s="1"/>
  <c r="P161" i="32" s="1"/>
  <c r="P162" i="32" s="1"/>
  <c r="P163" i="32" s="1"/>
  <c r="P164" i="32" s="1"/>
  <c r="P165" i="32" s="1"/>
  <c r="P166" i="32" s="1"/>
  <c r="P167" i="32" s="1"/>
  <c r="P168" i="32" s="1"/>
  <c r="P169" i="32" s="1"/>
  <c r="P170" i="32" s="1"/>
  <c r="P171" i="32" s="1"/>
  <c r="P172" i="32" s="1"/>
  <c r="P173" i="32" s="1"/>
  <c r="P174" i="32" s="1"/>
  <c r="P175" i="32" s="1"/>
  <c r="P176" i="32" s="1"/>
  <c r="P177" i="32" s="1"/>
  <c r="P178" i="32" s="1"/>
  <c r="P179" i="32" s="1"/>
  <c r="P180" i="32" s="1"/>
  <c r="P181" i="32" s="1"/>
  <c r="P182" i="32" s="1"/>
  <c r="P183" i="32" s="1"/>
  <c r="P184" i="32" s="1"/>
  <c r="P185" i="32" s="1"/>
  <c r="P186" i="32" s="1"/>
  <c r="P187" i="32" s="1"/>
  <c r="W4" i="32"/>
  <c r="F12" i="35"/>
  <c r="C28" i="40" s="1"/>
  <c r="E25" i="62" l="1"/>
  <c r="J24" i="62"/>
  <c r="K24" i="62" s="1"/>
  <c r="W186" i="32"/>
  <c r="W138" i="32"/>
  <c r="W30" i="32"/>
  <c r="W54" i="32"/>
  <c r="W150" i="32"/>
  <c r="W174" i="32"/>
  <c r="W114" i="32"/>
  <c r="W126" i="32"/>
  <c r="W78" i="32"/>
  <c r="W102" i="32"/>
  <c r="E41" i="35"/>
  <c r="W66" i="32"/>
  <c r="W90" i="32"/>
  <c r="P188" i="32"/>
  <c r="P189" i="32" s="1"/>
  <c r="P190" i="32" s="1"/>
  <c r="P191" i="32" s="1"/>
  <c r="P192" i="32" s="1"/>
  <c r="P193" i="32" s="1"/>
  <c r="P194" i="32" s="1"/>
  <c r="P195" i="32" s="1"/>
  <c r="P196" i="32" s="1"/>
  <c r="P197" i="32" s="1"/>
  <c r="P198" i="32" s="1"/>
  <c r="P199" i="32" s="1"/>
  <c r="P200" i="32" s="1"/>
  <c r="P201" i="32" s="1"/>
  <c r="P202" i="32" s="1"/>
  <c r="P203" i="32" s="1"/>
  <c r="P204" i="32" s="1"/>
  <c r="P205" i="32" s="1"/>
  <c r="P206" i="32" s="1"/>
  <c r="P207" i="32" s="1"/>
  <c r="P208" i="32" s="1"/>
  <c r="P209" i="32" s="1"/>
  <c r="P210" i="32" s="1"/>
  <c r="P211" i="32" s="1"/>
  <c r="P212" i="32" s="1"/>
  <c r="P213" i="32" s="1"/>
  <c r="P214" i="32" s="1"/>
  <c r="P215" i="32" s="1"/>
  <c r="P216" i="32" s="1"/>
  <c r="P217" i="32" s="1"/>
  <c r="P218" i="32" s="1"/>
  <c r="P219" i="32" s="1"/>
  <c r="P220" i="32" s="1"/>
  <c r="P221" i="32" s="1"/>
  <c r="P222" i="32" s="1"/>
  <c r="P223" i="32" s="1"/>
  <c r="P224" i="32" s="1"/>
  <c r="P225" i="32" s="1"/>
  <c r="P226" i="32" s="1"/>
  <c r="P227" i="32" s="1"/>
  <c r="P228" i="32" s="1"/>
  <c r="P229" i="32" s="1"/>
  <c r="P230" i="32" s="1"/>
  <c r="P231" i="32" s="1"/>
  <c r="P232" i="32" s="1"/>
  <c r="P233" i="32" s="1"/>
  <c r="P234" i="32" s="1"/>
  <c r="P235" i="32" s="1"/>
  <c r="P236" i="32" s="1"/>
  <c r="P237" i="32" s="1"/>
  <c r="P238" i="32" s="1"/>
  <c r="P239" i="32" s="1"/>
  <c r="P240" i="32" s="1"/>
  <c r="P241" i="32" s="1"/>
  <c r="P242" i="32" s="1"/>
  <c r="P243" i="32" s="1"/>
  <c r="P244" i="32" s="1"/>
  <c r="P245" i="32" s="1"/>
  <c r="P246" i="32" s="1"/>
  <c r="P247" i="32" s="1"/>
  <c r="F46" i="31" s="1"/>
  <c r="W18" i="32"/>
  <c r="Y18" i="32" s="1"/>
  <c r="Y19" i="32" s="1"/>
  <c r="Y20" i="32" s="1"/>
  <c r="Y21" i="32" s="1"/>
  <c r="Y22" i="32" s="1"/>
  <c r="Y23" i="32" s="1"/>
  <c r="Y24" i="32" s="1"/>
  <c r="Y25" i="32" s="1"/>
  <c r="Y26" i="32" s="1"/>
  <c r="Y27" i="32" s="1"/>
  <c r="Y28" i="32" s="1"/>
  <c r="Y29" i="32" s="1"/>
  <c r="W42" i="32"/>
  <c r="E26" i="62" l="1"/>
  <c r="J25" i="62"/>
  <c r="K25" i="62" s="1"/>
  <c r="Y30" i="32"/>
  <c r="Y31" i="32" s="1"/>
  <c r="Y32" i="32" s="1"/>
  <c r="Y33" i="32" s="1"/>
  <c r="Y34" i="32" s="1"/>
  <c r="Y35" i="32" s="1"/>
  <c r="Y36" i="32" s="1"/>
  <c r="Y37" i="32" s="1"/>
  <c r="Y38" i="32" s="1"/>
  <c r="Y39" i="32" s="1"/>
  <c r="Y40" i="32" s="1"/>
  <c r="Y41" i="32" s="1"/>
  <c r="Y42" i="32" s="1"/>
  <c r="Y43" i="32" s="1"/>
  <c r="Y44" i="32" s="1"/>
  <c r="Y45" i="32" s="1"/>
  <c r="Y46" i="32" s="1"/>
  <c r="Y47" i="32" s="1"/>
  <c r="Y48" i="32" s="1"/>
  <c r="Y49" i="32" s="1"/>
  <c r="Y50" i="32" s="1"/>
  <c r="Y51" i="32" s="1"/>
  <c r="Y52" i="32" s="1"/>
  <c r="Y53" i="32" s="1"/>
  <c r="Y54" i="32" s="1"/>
  <c r="Y55" i="32" s="1"/>
  <c r="Y56" i="32" s="1"/>
  <c r="Y57" i="32" s="1"/>
  <c r="Y58" i="32" s="1"/>
  <c r="Y59" i="32" s="1"/>
  <c r="Y60" i="32" s="1"/>
  <c r="Y61" i="32" s="1"/>
  <c r="Y62" i="32" s="1"/>
  <c r="Y63" i="32" s="1"/>
  <c r="Y64" i="32" s="1"/>
  <c r="Y65" i="32" s="1"/>
  <c r="Y66" i="32" s="1"/>
  <c r="Y67" i="32" s="1"/>
  <c r="Y68" i="32" s="1"/>
  <c r="Y69" i="32" s="1"/>
  <c r="Y70" i="32" s="1"/>
  <c r="Y71" i="32" s="1"/>
  <c r="Y72" i="32" s="1"/>
  <c r="Y73" i="32" s="1"/>
  <c r="Y74" i="32" s="1"/>
  <c r="Y75" i="32" s="1"/>
  <c r="Y76" i="32" s="1"/>
  <c r="Y77" i="32" s="1"/>
  <c r="Y78" i="32" s="1"/>
  <c r="Y79" i="32" s="1"/>
  <c r="Y80" i="32" s="1"/>
  <c r="Y81" i="32" s="1"/>
  <c r="Y82" i="32" s="1"/>
  <c r="Y83" i="32" s="1"/>
  <c r="Y84" i="32" s="1"/>
  <c r="Y85" i="32" s="1"/>
  <c r="Y86" i="32" s="1"/>
  <c r="Y87" i="32" s="1"/>
  <c r="Y88" i="32" s="1"/>
  <c r="Y89" i="32" s="1"/>
  <c r="Y90" i="32" s="1"/>
  <c r="Y91" i="32" s="1"/>
  <c r="Y92" i="32" s="1"/>
  <c r="Y93" i="32" s="1"/>
  <c r="Y94" i="32" s="1"/>
  <c r="Y95" i="32" s="1"/>
  <c r="Y96" i="32" s="1"/>
  <c r="Y97" i="32" s="1"/>
  <c r="Y98" i="32" s="1"/>
  <c r="Y99" i="32" s="1"/>
  <c r="Y100" i="32" s="1"/>
  <c r="Y101" i="32" s="1"/>
  <c r="Y102" i="32" s="1"/>
  <c r="Y103" i="32" s="1"/>
  <c r="Y104" i="32" s="1"/>
  <c r="Y105" i="32" s="1"/>
  <c r="Y106" i="32" s="1"/>
  <c r="Y107" i="32" s="1"/>
  <c r="Y108" i="32" s="1"/>
  <c r="Y109" i="32" s="1"/>
  <c r="Y110" i="32" s="1"/>
  <c r="Y111" i="32" s="1"/>
  <c r="Y112" i="32" s="1"/>
  <c r="Y113" i="32" s="1"/>
  <c r="Y114" i="32" s="1"/>
  <c r="Y115" i="32" s="1"/>
  <c r="Y116" i="32" s="1"/>
  <c r="Y117" i="32" s="1"/>
  <c r="Y118" i="32" s="1"/>
  <c r="Y119" i="32" s="1"/>
  <c r="Y120" i="32" s="1"/>
  <c r="Y121" i="32" s="1"/>
  <c r="Y122" i="32" s="1"/>
  <c r="Y123" i="32" s="1"/>
  <c r="Y124" i="32" s="1"/>
  <c r="Y125" i="32" s="1"/>
  <c r="Y126" i="32" s="1"/>
  <c r="Y127" i="32" s="1"/>
  <c r="Y128" i="32" s="1"/>
  <c r="Y129" i="32" s="1"/>
  <c r="Y130" i="32" s="1"/>
  <c r="Y131" i="32" s="1"/>
  <c r="Y132" i="32" s="1"/>
  <c r="Y133" i="32" s="1"/>
  <c r="Y134" i="32" s="1"/>
  <c r="Y135" i="32" s="1"/>
  <c r="Y136" i="32" s="1"/>
  <c r="Y137" i="32" s="1"/>
  <c r="Y138" i="32" s="1"/>
  <c r="Y139" i="32" s="1"/>
  <c r="Y140" i="32" s="1"/>
  <c r="Y141" i="32" s="1"/>
  <c r="Y142" i="32" s="1"/>
  <c r="Y143" i="32" s="1"/>
  <c r="Y144" i="32" s="1"/>
  <c r="Y145" i="32" s="1"/>
  <c r="Y146" i="32" s="1"/>
  <c r="Y147" i="32" s="1"/>
  <c r="Y148" i="32" s="1"/>
  <c r="Y149" i="32" s="1"/>
  <c r="Y150" i="32" s="1"/>
  <c r="Y151" i="32" s="1"/>
  <c r="Y152" i="32" s="1"/>
  <c r="Y153" i="32" s="1"/>
  <c r="Y154" i="32" s="1"/>
  <c r="Y155" i="32" s="1"/>
  <c r="Y156" i="32" s="1"/>
  <c r="Y157" i="32" s="1"/>
  <c r="Y158" i="32" s="1"/>
  <c r="Y159" i="32" s="1"/>
  <c r="Y160" i="32" s="1"/>
  <c r="Y161" i="32" s="1"/>
  <c r="Y162" i="32" s="1"/>
  <c r="Y163" i="32" s="1"/>
  <c r="Y164" i="32" s="1"/>
  <c r="Y165" i="32" s="1"/>
  <c r="Y166" i="32" s="1"/>
  <c r="Y167" i="32" s="1"/>
  <c r="Y168" i="32" s="1"/>
  <c r="Y169" i="32" s="1"/>
  <c r="Y170" i="32" s="1"/>
  <c r="Y171" i="32" s="1"/>
  <c r="Y172" i="32" s="1"/>
  <c r="Y173" i="32" s="1"/>
  <c r="Y174" i="32" s="1"/>
  <c r="Y175" i="32" s="1"/>
  <c r="Y176" i="32" s="1"/>
  <c r="Y177" i="32" s="1"/>
  <c r="Y178" i="32" s="1"/>
  <c r="Y179" i="32" s="1"/>
  <c r="Y180" i="32" s="1"/>
  <c r="Y181" i="32" s="1"/>
  <c r="Y182" i="32" s="1"/>
  <c r="Y183" i="32" s="1"/>
  <c r="Y184" i="32" s="1"/>
  <c r="Y185" i="32" s="1"/>
  <c r="Y186" i="32" s="1"/>
  <c r="Y187" i="32" s="1"/>
  <c r="Y188" i="32" s="1"/>
  <c r="Y189" i="32" s="1"/>
  <c r="Y190" i="32" s="1"/>
  <c r="Y191" i="32" s="1"/>
  <c r="Y192" i="32" s="1"/>
  <c r="Y193" i="32" s="1"/>
  <c r="Y194" i="32" s="1"/>
  <c r="Y195" i="32" s="1"/>
  <c r="Y196" i="32" s="1"/>
  <c r="Y197" i="32" s="1"/>
  <c r="Y198" i="32" s="1"/>
  <c r="Y199" i="32" s="1"/>
  <c r="Y200" i="32" s="1"/>
  <c r="Y201" i="32" s="1"/>
  <c r="Y202" i="32" s="1"/>
  <c r="Y203" i="32" s="1"/>
  <c r="Y204" i="32" s="1"/>
  <c r="Y205" i="32" s="1"/>
  <c r="Y206" i="32" s="1"/>
  <c r="Y207" i="32" s="1"/>
  <c r="Y208" i="32" s="1"/>
  <c r="Y209" i="32" s="1"/>
  <c r="Y210" i="32" s="1"/>
  <c r="Y211" i="32" s="1"/>
  <c r="Y212" i="32" s="1"/>
  <c r="Y213" i="32" s="1"/>
  <c r="Y214" i="32" s="1"/>
  <c r="Y215" i="32" s="1"/>
  <c r="Y216" i="32" s="1"/>
  <c r="Y217" i="32" s="1"/>
  <c r="Y218" i="32" s="1"/>
  <c r="Y219" i="32" s="1"/>
  <c r="Y220" i="32" s="1"/>
  <c r="Y221" i="32" s="1"/>
  <c r="Y222" i="32" s="1"/>
  <c r="Y223" i="32" s="1"/>
  <c r="Y224" i="32" s="1"/>
  <c r="Y225" i="32" s="1"/>
  <c r="Y226" i="32" s="1"/>
  <c r="Y227" i="32" s="1"/>
  <c r="Y228" i="32" s="1"/>
  <c r="Y229" i="32" s="1"/>
  <c r="Y230" i="32" s="1"/>
  <c r="Y231" i="32" s="1"/>
  <c r="Y232" i="32" s="1"/>
  <c r="Y233" i="32" s="1"/>
  <c r="Y234" i="32" s="1"/>
  <c r="Y235" i="32" s="1"/>
  <c r="Y236" i="32" s="1"/>
  <c r="Y237" i="32" s="1"/>
  <c r="Y238" i="32" s="1"/>
  <c r="Y239" i="32" s="1"/>
  <c r="Y240" i="32" s="1"/>
  <c r="Y241" i="32" s="1"/>
  <c r="Y242" i="32" s="1"/>
  <c r="Y243" i="32" s="1"/>
  <c r="Y244" i="32" s="1"/>
  <c r="Y245" i="32" s="1"/>
  <c r="Y246" i="32" s="1"/>
  <c r="Y247" i="32" s="1"/>
  <c r="F33" i="35" s="1"/>
  <c r="F36" i="35" s="1"/>
  <c r="C29" i="40" s="1"/>
  <c r="E27" i="62" l="1"/>
  <c r="J26" i="62"/>
  <c r="K26" i="62" s="1"/>
  <c r="F37" i="35"/>
  <c r="C30" i="40" s="1"/>
  <c r="C33" i="35"/>
  <c r="D49" i="31"/>
  <c r="E28" i="62" l="1"/>
  <c r="J27" i="62"/>
  <c r="K27" i="62" s="1"/>
  <c r="C22" i="40"/>
  <c r="D50" i="31"/>
  <c r="C23" i="40" s="1"/>
  <c r="C36" i="35" a="1"/>
  <c r="C36" i="35" s="1"/>
  <c r="E29" i="62" l="1"/>
  <c r="J28" i="62"/>
  <c r="K28" i="62" s="1"/>
  <c r="E30" i="62" l="1"/>
  <c r="J29" i="62"/>
  <c r="K29" i="62" s="1"/>
  <c r="E31" i="62" l="1"/>
  <c r="J30" i="62"/>
  <c r="K30" i="62" s="1"/>
  <c r="AE3" i="3"/>
  <c r="X3" i="3" s="1"/>
  <c r="C17" i="36" s="1"/>
  <c r="C20" i="36" s="1"/>
  <c r="E32" i="62" l="1"/>
  <c r="J32" i="62" s="1"/>
  <c r="J31" i="62"/>
  <c r="K31" i="62" s="1"/>
  <c r="Y3" i="3"/>
  <c r="C6" i="36" s="1"/>
  <c r="C22" i="36"/>
  <c r="C39" i="40" s="1"/>
  <c r="C40" i="40" s="1"/>
  <c r="K32" i="62" l="1"/>
  <c r="C33" i="40"/>
  <c r="F5" i="36"/>
  <c r="AI7" i="32" s="1"/>
  <c r="C10" i="36"/>
  <c r="C14" i="36"/>
  <c r="C16" i="36" s="1"/>
  <c r="C7" i="36"/>
  <c r="C34" i="40" l="1"/>
  <c r="F34" i="37"/>
  <c r="AE7" i="32"/>
  <c r="C3" i="38"/>
  <c r="C11" i="36"/>
  <c r="F6" i="37"/>
  <c r="F8" i="37" s="1"/>
  <c r="H72" i="3" l="1"/>
  <c r="K78" i="3" l="1"/>
  <c r="H74" i="3"/>
  <c r="P75" i="3" s="1"/>
  <c r="Q75" i="3" l="1"/>
  <c r="P82" i="3"/>
  <c r="Q82" i="3" s="1"/>
  <c r="P78" i="3"/>
  <c r="Q78" i="3" s="1"/>
  <c r="P85" i="3"/>
  <c r="Q85" i="3" s="1"/>
  <c r="P80" i="3"/>
  <c r="Q80" i="3" s="1"/>
  <c r="P86" i="3"/>
  <c r="P81" i="3"/>
  <c r="Q81" i="3" s="1"/>
  <c r="P76" i="3"/>
  <c r="Q76" i="3" s="1"/>
  <c r="P77" i="3"/>
  <c r="Q77" i="3" s="1"/>
  <c r="P79" i="3"/>
  <c r="Q79" i="3" s="1"/>
  <c r="P84" i="3"/>
  <c r="Q84" i="3" s="1"/>
  <c r="P83" i="3"/>
  <c r="Q83" i="3" s="1"/>
  <c r="I80" i="3"/>
  <c r="J80" i="3" s="1"/>
  <c r="K79" i="3" s="1"/>
  <c r="I81" i="3" l="1"/>
  <c r="J81" i="3" s="1"/>
  <c r="K80" i="3" s="1"/>
  <c r="Q86" i="3"/>
  <c r="C5" i="38"/>
  <c r="C6" i="38" s="1"/>
  <c r="C9" i="38" s="1"/>
  <c r="F3" i="36" l="1"/>
  <c r="C42" i="40" s="1"/>
  <c r="I82" i="3"/>
  <c r="J82" i="3" s="1"/>
  <c r="K81" i="3" s="1"/>
  <c r="AH4" i="32" l="1"/>
  <c r="AH126" i="32" s="1"/>
  <c r="AI127" i="32" s="1"/>
  <c r="C35" i="40"/>
  <c r="AH186" i="32"/>
  <c r="AI187" i="32" s="1"/>
  <c r="AH150" i="32"/>
  <c r="AI151" i="32" s="1"/>
  <c r="AH174" i="32"/>
  <c r="AI175" i="32" s="1"/>
  <c r="AH54" i="32"/>
  <c r="AI55" i="32" s="1"/>
  <c r="I83" i="3"/>
  <c r="J83" i="3" s="1"/>
  <c r="K82" i="3" s="1"/>
  <c r="F11" i="37"/>
  <c r="B44" i="37" s="1"/>
  <c r="E10" i="36"/>
  <c r="AH30" i="32" l="1"/>
  <c r="AI31" i="32" s="1"/>
  <c r="AH18" i="32"/>
  <c r="AI19" i="32" s="1"/>
  <c r="AH42" i="32"/>
  <c r="AI43" i="32" s="1"/>
  <c r="AH78" i="32"/>
  <c r="AI79" i="32" s="1"/>
  <c r="AH90" i="32"/>
  <c r="AI91" i="32" s="1"/>
  <c r="AH114" i="32"/>
  <c r="AI115" i="32" s="1"/>
  <c r="AH138" i="32"/>
  <c r="AI139" i="32" s="1"/>
  <c r="AH66" i="32"/>
  <c r="AI67" i="32" s="1"/>
  <c r="AH102" i="32"/>
  <c r="AI103" i="32" s="1"/>
  <c r="I84" i="3"/>
  <c r="J84" i="3" s="1"/>
  <c r="K83" i="3" s="1"/>
  <c r="AJ94" i="32" l="1"/>
  <c r="AK94" i="32" s="1"/>
  <c r="AM94" i="32" s="1"/>
  <c r="AJ245" i="32"/>
  <c r="AK245" i="32" s="1"/>
  <c r="AM245" i="32" s="1"/>
  <c r="AJ79" i="32"/>
  <c r="AK79" i="32" s="1"/>
  <c r="AM79" i="32" s="1"/>
  <c r="AJ222" i="32"/>
  <c r="AK222" i="32" s="1"/>
  <c r="AM222" i="32" s="1"/>
  <c r="AJ27" i="32"/>
  <c r="AK27" i="32" s="1"/>
  <c r="AM27" i="32" s="1"/>
  <c r="AJ146" i="32"/>
  <c r="AK146" i="32" s="1"/>
  <c r="AM146" i="32" s="1"/>
  <c r="AJ80" i="32"/>
  <c r="AK80" i="32" s="1"/>
  <c r="AM80" i="32" s="1"/>
  <c r="AJ184" i="32"/>
  <c r="AK184" i="32" s="1"/>
  <c r="AM184" i="32" s="1"/>
  <c r="AJ196" i="32"/>
  <c r="AK196" i="32" s="1"/>
  <c r="AM196" i="32" s="1"/>
  <c r="AJ57" i="32"/>
  <c r="AK57" i="32" s="1"/>
  <c r="AM57" i="32" s="1"/>
  <c r="AJ147" i="32"/>
  <c r="AK147" i="32" s="1"/>
  <c r="AM147" i="32" s="1"/>
  <c r="AJ246" i="32"/>
  <c r="AK246" i="32" s="1"/>
  <c r="AM246" i="32" s="1"/>
  <c r="AJ124" i="32"/>
  <c r="AK124" i="32" s="1"/>
  <c r="AM124" i="32" s="1"/>
  <c r="AJ187" i="32"/>
  <c r="AK187" i="32" s="1"/>
  <c r="AM187" i="32" s="1"/>
  <c r="AJ142" i="32"/>
  <c r="AK142" i="32" s="1"/>
  <c r="AM142" i="32" s="1"/>
  <c r="AJ63" i="32"/>
  <c r="AK63" i="32" s="1"/>
  <c r="AM63" i="32" s="1"/>
  <c r="AJ154" i="32"/>
  <c r="AK154" i="32" s="1"/>
  <c r="AM154" i="32" s="1"/>
  <c r="AJ65" i="32"/>
  <c r="AK65" i="32" s="1"/>
  <c r="AM65" i="32" s="1"/>
  <c r="AJ33" i="32"/>
  <c r="AK33" i="32" s="1"/>
  <c r="AM33" i="32" s="1"/>
  <c r="AJ134" i="32"/>
  <c r="AK134" i="32" s="1"/>
  <c r="AM134" i="32" s="1"/>
  <c r="AJ210" i="32"/>
  <c r="AK210" i="32" s="1"/>
  <c r="AM210" i="32" s="1"/>
  <c r="AJ228" i="32"/>
  <c r="AK228" i="32" s="1"/>
  <c r="AM228" i="32" s="1"/>
  <c r="AJ200" i="32"/>
  <c r="AK200" i="32" s="1"/>
  <c r="AM200" i="32" s="1"/>
  <c r="AJ131" i="32"/>
  <c r="AK131" i="32" s="1"/>
  <c r="AM131" i="32" s="1"/>
  <c r="AJ78" i="32"/>
  <c r="AK78" i="32" s="1"/>
  <c r="AM78" i="32" s="1"/>
  <c r="AJ52" i="32"/>
  <c r="AK52" i="32" s="1"/>
  <c r="AM52" i="32" s="1"/>
  <c r="AJ10" i="32"/>
  <c r="AK10" i="32" s="1"/>
  <c r="AM10" i="32" s="1"/>
  <c r="AJ239" i="32"/>
  <c r="AK239" i="32" s="1"/>
  <c r="AM239" i="32" s="1"/>
  <c r="AJ140" i="32"/>
  <c r="AK140" i="32" s="1"/>
  <c r="AM140" i="32" s="1"/>
  <c r="AJ206" i="32"/>
  <c r="AK206" i="32" s="1"/>
  <c r="AM206" i="32" s="1"/>
  <c r="AJ70" i="32"/>
  <c r="AK70" i="32" s="1"/>
  <c r="AM70" i="32" s="1"/>
  <c r="AJ199" i="32"/>
  <c r="AK199" i="32" s="1"/>
  <c r="AM199" i="32" s="1"/>
  <c r="AJ153" i="32"/>
  <c r="AK153" i="32" s="1"/>
  <c r="AM153" i="32" s="1"/>
  <c r="AJ240" i="32"/>
  <c r="AK240" i="32" s="1"/>
  <c r="AM240" i="32" s="1"/>
  <c r="AJ190" i="32"/>
  <c r="AK190" i="32" s="1"/>
  <c r="AM190" i="32" s="1"/>
  <c r="AJ143" i="32"/>
  <c r="AK143" i="32" s="1"/>
  <c r="AM143" i="32" s="1"/>
  <c r="AJ209" i="32"/>
  <c r="AK209" i="32" s="1"/>
  <c r="AM209" i="32" s="1"/>
  <c r="AJ181" i="32"/>
  <c r="AK181" i="32" s="1"/>
  <c r="AM181" i="32" s="1"/>
  <c r="AJ25" i="32"/>
  <c r="AK25" i="32" s="1"/>
  <c r="AM25" i="32" s="1"/>
  <c r="AJ16" i="32"/>
  <c r="AK16" i="32" s="1"/>
  <c r="AM16" i="32" s="1"/>
  <c r="AJ66" i="32"/>
  <c r="AK66" i="32" s="1"/>
  <c r="AM66" i="32" s="1"/>
  <c r="AJ207" i="32"/>
  <c r="AK207" i="32" s="1"/>
  <c r="AM207" i="32" s="1"/>
  <c r="AJ81" i="32"/>
  <c r="AK81" i="32" s="1"/>
  <c r="AM81" i="32" s="1"/>
  <c r="AJ168" i="32"/>
  <c r="AK168" i="32" s="1"/>
  <c r="AM168" i="32" s="1"/>
  <c r="AJ51" i="32"/>
  <c r="AK51" i="32" s="1"/>
  <c r="AM51" i="32" s="1"/>
  <c r="AJ45" i="32"/>
  <c r="AK45" i="32" s="1"/>
  <c r="AM45" i="32" s="1"/>
  <c r="AJ37" i="32"/>
  <c r="AK37" i="32" s="1"/>
  <c r="AM37" i="32" s="1"/>
  <c r="AJ133" i="32"/>
  <c r="AK133" i="32" s="1"/>
  <c r="AM133" i="32" s="1"/>
  <c r="AJ241" i="32"/>
  <c r="AK241" i="32" s="1"/>
  <c r="AM241" i="32" s="1"/>
  <c r="AJ91" i="32"/>
  <c r="AK91" i="32" s="1"/>
  <c r="AM91" i="32" s="1"/>
  <c r="AJ112" i="32"/>
  <c r="AK112" i="32" s="1"/>
  <c r="AM112" i="32" s="1"/>
  <c r="AJ170" i="32"/>
  <c r="AK170" i="32" s="1"/>
  <c r="AM170" i="32" s="1"/>
  <c r="AJ46" i="32"/>
  <c r="AK46" i="32" s="1"/>
  <c r="AM46" i="32" s="1"/>
  <c r="AJ83" i="32"/>
  <c r="AK83" i="32" s="1"/>
  <c r="AM83" i="32" s="1"/>
  <c r="AJ86" i="32"/>
  <c r="AK86" i="32" s="1"/>
  <c r="AM86" i="32" s="1"/>
  <c r="AJ69" i="32"/>
  <c r="AK69" i="32" s="1"/>
  <c r="AM69" i="32" s="1"/>
  <c r="AJ50" i="32"/>
  <c r="AK50" i="32" s="1"/>
  <c r="AM50" i="32" s="1"/>
  <c r="AJ61" i="32"/>
  <c r="AK61" i="32" s="1"/>
  <c r="AM61" i="32" s="1"/>
  <c r="AJ128" i="32"/>
  <c r="AK128" i="32" s="1"/>
  <c r="AM128" i="32" s="1"/>
  <c r="AJ149" i="32"/>
  <c r="AK149" i="32" s="1"/>
  <c r="AM149" i="32" s="1"/>
  <c r="AJ62" i="32"/>
  <c r="AK62" i="32" s="1"/>
  <c r="AM62" i="32" s="1"/>
  <c r="AJ23" i="32"/>
  <c r="AK23" i="32" s="1"/>
  <c r="AM23" i="32" s="1"/>
  <c r="AJ215" i="32"/>
  <c r="AK215" i="32" s="1"/>
  <c r="AM215" i="32" s="1"/>
  <c r="AJ221" i="32"/>
  <c r="AK221" i="32" s="1"/>
  <c r="AM221" i="32" s="1"/>
  <c r="AJ117" i="32"/>
  <c r="AK117" i="32" s="1"/>
  <c r="AM117" i="32" s="1"/>
  <c r="AJ204" i="32"/>
  <c r="AK204" i="32" s="1"/>
  <c r="AM204" i="32" s="1"/>
  <c r="AJ162" i="32"/>
  <c r="AK162" i="32" s="1"/>
  <c r="AM162" i="32" s="1"/>
  <c r="AJ121" i="32"/>
  <c r="AK121" i="32" s="1"/>
  <c r="AM121" i="32" s="1"/>
  <c r="AJ113" i="32"/>
  <c r="AK113" i="32" s="1"/>
  <c r="AM113" i="32" s="1"/>
  <c r="AJ185" i="32"/>
  <c r="AK185" i="32" s="1"/>
  <c r="AM185" i="32" s="1"/>
  <c r="AJ109" i="32"/>
  <c r="AK109" i="32" s="1"/>
  <c r="AM109" i="32" s="1"/>
  <c r="AJ217" i="32"/>
  <c r="AK217" i="32" s="1"/>
  <c r="AM217" i="32" s="1"/>
  <c r="AJ158" i="32"/>
  <c r="AK158" i="32" s="1"/>
  <c r="AM158" i="32" s="1"/>
  <c r="AJ151" i="32"/>
  <c r="AK151" i="32" s="1"/>
  <c r="AM151" i="32" s="1"/>
  <c r="AJ14" i="32"/>
  <c r="AK14" i="32" s="1"/>
  <c r="AM14" i="32" s="1"/>
  <c r="AJ203" i="32"/>
  <c r="AK203" i="32" s="1"/>
  <c r="AM203" i="32" s="1"/>
  <c r="AJ101" i="32"/>
  <c r="AK101" i="32" s="1"/>
  <c r="AM101" i="32" s="1"/>
  <c r="AJ54" i="32"/>
  <c r="AK54" i="32" s="1"/>
  <c r="AM54" i="32" s="1"/>
  <c r="AJ76" i="32"/>
  <c r="AK76" i="32" s="1"/>
  <c r="AM76" i="32" s="1"/>
  <c r="AJ171" i="32"/>
  <c r="AK171" i="32" s="1"/>
  <c r="AM171" i="32" s="1"/>
  <c r="AJ166" i="32"/>
  <c r="AK166" i="32" s="1"/>
  <c r="AM166" i="32" s="1"/>
  <c r="AJ7" i="32"/>
  <c r="AK7" i="32" s="1"/>
  <c r="AM7" i="32" s="1"/>
  <c r="AN7" i="32" s="1"/>
  <c r="AJ68" i="32"/>
  <c r="AK68" i="32" s="1"/>
  <c r="AM68" i="32" s="1"/>
  <c r="AJ89" i="32"/>
  <c r="AK89" i="32" s="1"/>
  <c r="AM89" i="32" s="1"/>
  <c r="AJ110" i="32"/>
  <c r="AK110" i="32" s="1"/>
  <c r="AM110" i="32" s="1"/>
  <c r="AJ77" i="32"/>
  <c r="AK77" i="32" s="1"/>
  <c r="AM77" i="32" s="1"/>
  <c r="AJ157" i="32"/>
  <c r="AK157" i="32" s="1"/>
  <c r="AM157" i="32" s="1"/>
  <c r="AJ29" i="32"/>
  <c r="AK29" i="32" s="1"/>
  <c r="AM29" i="32" s="1"/>
  <c r="AJ38" i="32"/>
  <c r="AK38" i="32" s="1"/>
  <c r="AM38" i="32" s="1"/>
  <c r="AJ85" i="32"/>
  <c r="AK85" i="32" s="1"/>
  <c r="AM85" i="32" s="1"/>
  <c r="AJ152" i="32"/>
  <c r="AK152" i="32" s="1"/>
  <c r="AM152" i="32" s="1"/>
  <c r="AJ141" i="32"/>
  <c r="AK141" i="32" s="1"/>
  <c r="AM141" i="32" s="1"/>
  <c r="AJ137" i="32"/>
  <c r="AK137" i="32" s="1"/>
  <c r="AM137" i="32" s="1"/>
  <c r="AJ126" i="32"/>
  <c r="AK126" i="32" s="1"/>
  <c r="AM126" i="32" s="1"/>
  <c r="AJ47" i="32"/>
  <c r="AK47" i="32" s="1"/>
  <c r="AM47" i="32" s="1"/>
  <c r="AJ97" i="32"/>
  <c r="AK97" i="32" s="1"/>
  <c r="AM97" i="32" s="1"/>
  <c r="AJ164" i="32"/>
  <c r="AK164" i="32" s="1"/>
  <c r="AM164" i="32" s="1"/>
  <c r="AJ15" i="32"/>
  <c r="AK15" i="32" s="1"/>
  <c r="AM15" i="32" s="1"/>
  <c r="AJ13" i="32"/>
  <c r="AK13" i="32" s="1"/>
  <c r="AM13" i="32" s="1"/>
  <c r="AJ173" i="32"/>
  <c r="AK173" i="32" s="1"/>
  <c r="AM173" i="32" s="1"/>
  <c r="AJ237" i="32"/>
  <c r="AK237" i="32" s="1"/>
  <c r="AM237" i="32" s="1"/>
  <c r="AJ43" i="32"/>
  <c r="AK43" i="32" s="1"/>
  <c r="AM43" i="32" s="1"/>
  <c r="AJ58" i="32"/>
  <c r="AK58" i="32" s="1"/>
  <c r="AM58" i="32" s="1"/>
  <c r="AJ135" i="32"/>
  <c r="AK135" i="32" s="1"/>
  <c r="AM135" i="32" s="1"/>
  <c r="AJ216" i="32"/>
  <c r="AK216" i="32" s="1"/>
  <c r="AM216" i="32" s="1"/>
  <c r="AJ236" i="32"/>
  <c r="AK236" i="32" s="1"/>
  <c r="AM236" i="32" s="1"/>
  <c r="AJ75" i="32"/>
  <c r="AK75" i="32" s="1"/>
  <c r="AM75" i="32" s="1"/>
  <c r="AJ165" i="32"/>
  <c r="AK165" i="32" s="1"/>
  <c r="AM165" i="32" s="1"/>
  <c r="AJ156" i="32"/>
  <c r="AK156" i="32" s="1"/>
  <c r="AM156" i="32" s="1"/>
  <c r="AJ103" i="32"/>
  <c r="AK103" i="32" s="1"/>
  <c r="AM103" i="32" s="1"/>
  <c r="AJ177" i="32"/>
  <c r="AK177" i="32" s="1"/>
  <c r="AM177" i="32" s="1"/>
  <c r="AJ229" i="32"/>
  <c r="AK229" i="32" s="1"/>
  <c r="AM229" i="32" s="1"/>
  <c r="AJ179" i="32"/>
  <c r="AK179" i="32" s="1"/>
  <c r="AM179" i="32" s="1"/>
  <c r="AJ12" i="32"/>
  <c r="AK12" i="32" s="1"/>
  <c r="AM12" i="32" s="1"/>
  <c r="AJ36" i="32"/>
  <c r="AK36" i="32" s="1"/>
  <c r="AM36" i="32" s="1"/>
  <c r="AJ115" i="32"/>
  <c r="AK115" i="32" s="1"/>
  <c r="AM115" i="32" s="1"/>
  <c r="AJ8" i="32"/>
  <c r="AK8" i="32" s="1"/>
  <c r="AM8" i="32" s="1"/>
  <c r="AJ74" i="32"/>
  <c r="AK74" i="32" s="1"/>
  <c r="AM74" i="32" s="1"/>
  <c r="AJ96" i="32"/>
  <c r="AK96" i="32" s="1"/>
  <c r="AM96" i="32" s="1"/>
  <c r="AJ188" i="32"/>
  <c r="AK188" i="32" s="1"/>
  <c r="AM188" i="32" s="1"/>
  <c r="AJ235" i="32"/>
  <c r="AK235" i="32" s="1"/>
  <c r="AM235" i="32" s="1"/>
  <c r="AJ201" i="32"/>
  <c r="AK201" i="32" s="1"/>
  <c r="AM201" i="32" s="1"/>
  <c r="AJ226" i="32"/>
  <c r="AK226" i="32" s="1"/>
  <c r="AM226" i="32" s="1"/>
  <c r="AJ223" i="32"/>
  <c r="AK223" i="32" s="1"/>
  <c r="AM223" i="32" s="1"/>
  <c r="AJ53" i="32"/>
  <c r="AK53" i="32" s="1"/>
  <c r="AM53" i="32" s="1"/>
  <c r="AJ161" i="32"/>
  <c r="AK161" i="32" s="1"/>
  <c r="AM161" i="32" s="1"/>
  <c r="AJ41" i="32"/>
  <c r="AK41" i="32" s="1"/>
  <c r="AM41" i="32" s="1"/>
  <c r="AJ30" i="32"/>
  <c r="AK30" i="32" s="1"/>
  <c r="AM30" i="32" s="1"/>
  <c r="AJ20" i="32"/>
  <c r="AK20" i="32" s="1"/>
  <c r="AM20" i="32" s="1"/>
  <c r="AJ155" i="32"/>
  <c r="AK155" i="32" s="1"/>
  <c r="AM155" i="32" s="1"/>
  <c r="AJ247" i="32"/>
  <c r="AK247" i="32" s="1"/>
  <c r="AM247" i="32" s="1"/>
  <c r="AJ84" i="32"/>
  <c r="AK84" i="32" s="1"/>
  <c r="AM84" i="32" s="1"/>
  <c r="AJ163" i="32"/>
  <c r="AK163" i="32" s="1"/>
  <c r="AM163" i="32" s="1"/>
  <c r="AJ139" i="32"/>
  <c r="AK139" i="32" s="1"/>
  <c r="AM139" i="32" s="1"/>
  <c r="AJ193" i="32"/>
  <c r="AK193" i="32" s="1"/>
  <c r="AM193" i="32" s="1"/>
  <c r="AJ42" i="32"/>
  <c r="AK42" i="32" s="1"/>
  <c r="AM42" i="32" s="1"/>
  <c r="AJ59" i="32"/>
  <c r="AK59" i="32" s="1"/>
  <c r="AM59" i="32" s="1"/>
  <c r="AJ214" i="32"/>
  <c r="AK214" i="32" s="1"/>
  <c r="AM214" i="32" s="1"/>
  <c r="AJ92" i="32"/>
  <c r="AK92" i="32" s="1"/>
  <c r="AM92" i="32" s="1"/>
  <c r="AJ227" i="32"/>
  <c r="AK227" i="32" s="1"/>
  <c r="AM227" i="32" s="1"/>
  <c r="AJ19" i="32"/>
  <c r="AK19" i="32" s="1"/>
  <c r="AM19" i="32" s="1"/>
  <c r="AJ18" i="32"/>
  <c r="AK18" i="32" s="1"/>
  <c r="AM18" i="32" s="1"/>
  <c r="AJ44" i="32"/>
  <c r="AK44" i="32" s="1"/>
  <c r="AM44" i="32" s="1"/>
  <c r="AJ183" i="32"/>
  <c r="AK183" i="32" s="1"/>
  <c r="AM183" i="32" s="1"/>
  <c r="AJ99" i="32"/>
  <c r="AK99" i="32" s="1"/>
  <c r="AM99" i="32" s="1"/>
  <c r="AJ136" i="32"/>
  <c r="AK136" i="32" s="1"/>
  <c r="AM136" i="32" s="1"/>
  <c r="AJ93" i="32"/>
  <c r="AK93" i="32" s="1"/>
  <c r="AM93" i="32" s="1"/>
  <c r="AJ73" i="32"/>
  <c r="AK73" i="32" s="1"/>
  <c r="AM73" i="32" s="1"/>
  <c r="AJ212" i="32"/>
  <c r="AK212" i="32" s="1"/>
  <c r="AM212" i="32" s="1"/>
  <c r="AJ71" i="32"/>
  <c r="AK71" i="32" s="1"/>
  <c r="AM71" i="32" s="1"/>
  <c r="AJ49" i="32"/>
  <c r="AK49" i="32" s="1"/>
  <c r="AM49" i="32" s="1"/>
  <c r="AJ118" i="32"/>
  <c r="AK118" i="32" s="1"/>
  <c r="AM118" i="32" s="1"/>
  <c r="AJ123" i="32"/>
  <c r="AK123" i="32" s="1"/>
  <c r="AM123" i="32" s="1"/>
  <c r="AJ39" i="32"/>
  <c r="AK39" i="32" s="1"/>
  <c r="AM39" i="32" s="1"/>
  <c r="AJ106" i="32"/>
  <c r="AK106" i="32" s="1"/>
  <c r="AM106" i="32" s="1"/>
  <c r="AJ17" i="32"/>
  <c r="AK17" i="32" s="1"/>
  <c r="AM17" i="32" s="1"/>
  <c r="AJ242" i="32"/>
  <c r="AK242" i="32" s="1"/>
  <c r="AM242" i="32" s="1"/>
  <c r="AJ95" i="32"/>
  <c r="AK95" i="32" s="1"/>
  <c r="AM95" i="32" s="1"/>
  <c r="AJ172" i="32"/>
  <c r="AK172" i="32" s="1"/>
  <c r="AM172" i="32" s="1"/>
  <c r="AJ197" i="32"/>
  <c r="AK197" i="32" s="1"/>
  <c r="AM197" i="32" s="1"/>
  <c r="AJ98" i="32"/>
  <c r="AK98" i="32" s="1"/>
  <c r="AM98" i="32" s="1"/>
  <c r="AJ132" i="32"/>
  <c r="AK132" i="32" s="1"/>
  <c r="AM132" i="32" s="1"/>
  <c r="AJ144" i="32"/>
  <c r="AK144" i="32" s="1"/>
  <c r="AM144" i="32" s="1"/>
  <c r="AJ119" i="32"/>
  <c r="AK119" i="32" s="1"/>
  <c r="AM119" i="32" s="1"/>
  <c r="AJ180" i="32"/>
  <c r="AK180" i="32" s="1"/>
  <c r="AM180" i="32" s="1"/>
  <c r="AJ189" i="32"/>
  <c r="AK189" i="32" s="1"/>
  <c r="AM189" i="32" s="1"/>
  <c r="AJ225" i="32"/>
  <c r="AK225" i="32" s="1"/>
  <c r="AM225" i="32" s="1"/>
  <c r="AJ218" i="32"/>
  <c r="AK218" i="32" s="1"/>
  <c r="AM218" i="32" s="1"/>
  <c r="AJ194" i="32"/>
  <c r="AK194" i="32" s="1"/>
  <c r="AM194" i="32" s="1"/>
  <c r="AJ9" i="32"/>
  <c r="AK9" i="32" s="1"/>
  <c r="AM9" i="32" s="1"/>
  <c r="AJ11" i="32"/>
  <c r="AK11" i="32" s="1"/>
  <c r="AM11" i="32" s="1"/>
  <c r="AJ243" i="32"/>
  <c r="AK243" i="32" s="1"/>
  <c r="AM243" i="32" s="1"/>
  <c r="AJ111" i="32"/>
  <c r="AK111" i="32" s="1"/>
  <c r="AM111" i="32" s="1"/>
  <c r="AJ64" i="32"/>
  <c r="AK64" i="32" s="1"/>
  <c r="AM64" i="32" s="1"/>
  <c r="AJ127" i="32"/>
  <c r="AK127" i="32" s="1"/>
  <c r="AM127" i="32" s="1"/>
  <c r="AJ35" i="32"/>
  <c r="AK35" i="32" s="1"/>
  <c r="AM35" i="32" s="1"/>
  <c r="AJ48" i="32"/>
  <c r="AK48" i="32" s="1"/>
  <c r="AM48" i="32" s="1"/>
  <c r="AJ208" i="32"/>
  <c r="AK208" i="32" s="1"/>
  <c r="AM208" i="32" s="1"/>
  <c r="AJ150" i="32"/>
  <c r="AK150" i="32" s="1"/>
  <c r="AM150" i="32" s="1"/>
  <c r="AJ178" i="32"/>
  <c r="AK178" i="32" s="1"/>
  <c r="AM178" i="32" s="1"/>
  <c r="AJ175" i="32"/>
  <c r="AK175" i="32" s="1"/>
  <c r="AM175" i="32" s="1"/>
  <c r="AJ138" i="32"/>
  <c r="AK138" i="32" s="1"/>
  <c r="AM138" i="32" s="1"/>
  <c r="AJ219" i="32"/>
  <c r="AK219" i="32" s="1"/>
  <c r="AM219" i="32" s="1"/>
  <c r="AJ72" i="32"/>
  <c r="AK72" i="32" s="1"/>
  <c r="AM72" i="32" s="1"/>
  <c r="AJ232" i="32"/>
  <c r="AK232" i="32" s="1"/>
  <c r="AM232" i="32" s="1"/>
  <c r="AJ231" i="32"/>
  <c r="AK231" i="32" s="1"/>
  <c r="AM231" i="32" s="1"/>
  <c r="AJ104" i="32"/>
  <c r="AK104" i="32" s="1"/>
  <c r="AM104" i="32" s="1"/>
  <c r="AJ82" i="32"/>
  <c r="AK82" i="32" s="1"/>
  <c r="AM82" i="32" s="1"/>
  <c r="AJ60" i="32"/>
  <c r="AK60" i="32" s="1"/>
  <c r="AM60" i="32" s="1"/>
  <c r="AJ40" i="32"/>
  <c r="AK40" i="32" s="1"/>
  <c r="AM40" i="32" s="1"/>
  <c r="AJ145" i="32"/>
  <c r="AK145" i="32" s="1"/>
  <c r="AM145" i="32" s="1"/>
  <c r="AJ205" i="32"/>
  <c r="AK205" i="32" s="1"/>
  <c r="AM205" i="32" s="1"/>
  <c r="AJ114" i="32"/>
  <c r="AK114" i="32" s="1"/>
  <c r="AM114" i="32" s="1"/>
  <c r="AJ125" i="32"/>
  <c r="AK125" i="32" s="1"/>
  <c r="AM125" i="32" s="1"/>
  <c r="AJ24" i="32"/>
  <c r="AK24" i="32" s="1"/>
  <c r="AM24" i="32" s="1"/>
  <c r="AJ100" i="32"/>
  <c r="AK100" i="32" s="1"/>
  <c r="AM100" i="32" s="1"/>
  <c r="AJ244" i="32"/>
  <c r="AK244" i="32" s="1"/>
  <c r="AM244" i="32" s="1"/>
  <c r="AJ167" i="32"/>
  <c r="AK167" i="32" s="1"/>
  <c r="AM167" i="32" s="1"/>
  <c r="AJ28" i="32"/>
  <c r="AK28" i="32" s="1"/>
  <c r="AM28" i="32" s="1"/>
  <c r="AJ130" i="32"/>
  <c r="AK130" i="32" s="1"/>
  <c r="AM130" i="32" s="1"/>
  <c r="AJ56" i="32"/>
  <c r="AK56" i="32" s="1"/>
  <c r="AM56" i="32" s="1"/>
  <c r="AJ192" i="32"/>
  <c r="AK192" i="32" s="1"/>
  <c r="AM192" i="32" s="1"/>
  <c r="AJ120" i="32"/>
  <c r="AK120" i="32" s="1"/>
  <c r="AM120" i="32" s="1"/>
  <c r="AJ122" i="32"/>
  <c r="AK122" i="32" s="1"/>
  <c r="AM122" i="32" s="1"/>
  <c r="AJ195" i="32"/>
  <c r="AK195" i="32" s="1"/>
  <c r="AM195" i="32" s="1"/>
  <c r="AJ211" i="32"/>
  <c r="AK211" i="32" s="1"/>
  <c r="AM211" i="32" s="1"/>
  <c r="AJ159" i="32"/>
  <c r="AK159" i="32" s="1"/>
  <c r="AM159" i="32" s="1"/>
  <c r="AJ55" i="32"/>
  <c r="AK55" i="32" s="1"/>
  <c r="AM55" i="32" s="1"/>
  <c r="AJ31" i="32"/>
  <c r="AK31" i="32" s="1"/>
  <c r="AM31" i="32" s="1"/>
  <c r="AJ102" i="32"/>
  <c r="AK102" i="32" s="1"/>
  <c r="AM102" i="32" s="1"/>
  <c r="AJ202" i="32"/>
  <c r="AK202" i="32" s="1"/>
  <c r="AM202" i="32" s="1"/>
  <c r="AJ21" i="32"/>
  <c r="AK21" i="32" s="1"/>
  <c r="AM21" i="32" s="1"/>
  <c r="AJ198" i="32"/>
  <c r="AK198" i="32" s="1"/>
  <c r="AM198" i="32" s="1"/>
  <c r="AJ224" i="32"/>
  <c r="AK224" i="32" s="1"/>
  <c r="AM224" i="32" s="1"/>
  <c r="AJ22" i="32"/>
  <c r="AK22" i="32" s="1"/>
  <c r="AM22" i="32" s="1"/>
  <c r="AJ67" i="32"/>
  <c r="AK67" i="32" s="1"/>
  <c r="AM67" i="32" s="1"/>
  <c r="AJ230" i="32"/>
  <c r="AK230" i="32" s="1"/>
  <c r="AM230" i="32" s="1"/>
  <c r="AJ26" i="32"/>
  <c r="AK26" i="32" s="1"/>
  <c r="AM26" i="32" s="1"/>
  <c r="AJ220" i="32"/>
  <c r="AK220" i="32" s="1"/>
  <c r="AM220" i="32" s="1"/>
  <c r="AJ32" i="32"/>
  <c r="AK32" i="32" s="1"/>
  <c r="AM32" i="32" s="1"/>
  <c r="AJ105" i="32"/>
  <c r="AK105" i="32" s="1"/>
  <c r="AM105" i="32" s="1"/>
  <c r="AJ107" i="32"/>
  <c r="AK107" i="32" s="1"/>
  <c r="AM107" i="32" s="1"/>
  <c r="AJ88" i="32"/>
  <c r="AK88" i="32" s="1"/>
  <c r="AM88" i="32" s="1"/>
  <c r="AJ233" i="32"/>
  <c r="AK233" i="32" s="1"/>
  <c r="AM233" i="32" s="1"/>
  <c r="AJ116" i="32"/>
  <c r="AK116" i="32" s="1"/>
  <c r="AM116" i="32" s="1"/>
  <c r="AJ148" i="32"/>
  <c r="AK148" i="32" s="1"/>
  <c r="AM148" i="32" s="1"/>
  <c r="AJ169" i="32"/>
  <c r="AK169" i="32" s="1"/>
  <c r="AM169" i="32" s="1"/>
  <c r="AJ90" i="32"/>
  <c r="AK90" i="32" s="1"/>
  <c r="AM90" i="32" s="1"/>
  <c r="AJ129" i="32"/>
  <c r="AK129" i="32" s="1"/>
  <c r="AM129" i="32" s="1"/>
  <c r="AJ234" i="32"/>
  <c r="AK234" i="32" s="1"/>
  <c r="AM234" i="32" s="1"/>
  <c r="AJ108" i="32"/>
  <c r="AK108" i="32" s="1"/>
  <c r="AM108" i="32" s="1"/>
  <c r="AJ176" i="32"/>
  <c r="AK176" i="32" s="1"/>
  <c r="AM176" i="32" s="1"/>
  <c r="AJ160" i="32"/>
  <c r="AK160" i="32" s="1"/>
  <c r="AM160" i="32" s="1"/>
  <c r="AJ34" i="32"/>
  <c r="AK34" i="32" s="1"/>
  <c r="AM34" i="32" s="1"/>
  <c r="AJ174" i="32"/>
  <c r="AK174" i="32" s="1"/>
  <c r="AM174" i="32" s="1"/>
  <c r="AJ213" i="32"/>
  <c r="AK213" i="32" s="1"/>
  <c r="AM213" i="32" s="1"/>
  <c r="AJ186" i="32"/>
  <c r="AK186" i="32" s="1"/>
  <c r="AM186" i="32" s="1"/>
  <c r="AJ238" i="32"/>
  <c r="AK238" i="32" s="1"/>
  <c r="AM238" i="32" s="1"/>
  <c r="AJ191" i="32"/>
  <c r="AK191" i="32" s="1"/>
  <c r="AM191" i="32" s="1"/>
  <c r="AJ87" i="32"/>
  <c r="AK87" i="32" s="1"/>
  <c r="AM87" i="32" s="1"/>
  <c r="AJ182" i="32"/>
  <c r="AK182" i="32" s="1"/>
  <c r="AM182" i="32" s="1"/>
  <c r="I85" i="3"/>
  <c r="J85" i="3" s="1"/>
  <c r="K84" i="3" s="1"/>
  <c r="AN8" i="32" l="1"/>
  <c r="AN9" i="32" s="1"/>
  <c r="AN10" i="32" s="1"/>
  <c r="AN11" i="32" s="1"/>
  <c r="AN12" i="32" s="1"/>
  <c r="AN13" i="32" s="1"/>
  <c r="AN14" i="32" s="1"/>
  <c r="AN15" i="32" s="1"/>
  <c r="AN16" i="32" s="1"/>
  <c r="AN17" i="32" s="1"/>
  <c r="AN18" i="32" s="1"/>
  <c r="AN19" i="32" s="1"/>
  <c r="AN20" i="32" s="1"/>
  <c r="AN21" i="32" s="1"/>
  <c r="AN22" i="32" s="1"/>
  <c r="AN23" i="32" s="1"/>
  <c r="AN24" i="32" s="1"/>
  <c r="AN25" i="32" s="1"/>
  <c r="AN26" i="32" s="1"/>
  <c r="AN27" i="32" s="1"/>
  <c r="AN28" i="32" s="1"/>
  <c r="AN29" i="32" s="1"/>
  <c r="AN30" i="32" s="1"/>
  <c r="AN31" i="32" s="1"/>
  <c r="AN32" i="32" s="1"/>
  <c r="AN33" i="32" s="1"/>
  <c r="AN34" i="32" s="1"/>
  <c r="AN35" i="32" s="1"/>
  <c r="AN36" i="32" s="1"/>
  <c r="AN37" i="32" s="1"/>
  <c r="AN38" i="32" s="1"/>
  <c r="AN39" i="32" s="1"/>
  <c r="AN40" i="32" s="1"/>
  <c r="AN41" i="32" s="1"/>
  <c r="AN42" i="32" s="1"/>
  <c r="AN43" i="32" s="1"/>
  <c r="AN44" i="32" s="1"/>
  <c r="AN45" i="32" s="1"/>
  <c r="AN46" i="32" s="1"/>
  <c r="AN47" i="32" s="1"/>
  <c r="AN48" i="32" s="1"/>
  <c r="AN49" i="32" s="1"/>
  <c r="AN50" i="32" s="1"/>
  <c r="AN51" i="32" s="1"/>
  <c r="AN52" i="32" s="1"/>
  <c r="AN53" i="32" s="1"/>
  <c r="AN54" i="32" s="1"/>
  <c r="AN55" i="32" s="1"/>
  <c r="AN56" i="32" s="1"/>
  <c r="AN57" i="32" s="1"/>
  <c r="AN58" i="32" s="1"/>
  <c r="AN59" i="32" s="1"/>
  <c r="AN60" i="32" s="1"/>
  <c r="AN61" i="32" s="1"/>
  <c r="AN62" i="32" s="1"/>
  <c r="AN63" i="32" s="1"/>
  <c r="AN64" i="32" s="1"/>
  <c r="AN65" i="32" s="1"/>
  <c r="AN66" i="32" s="1"/>
  <c r="AN67" i="32" s="1"/>
  <c r="AN68" i="32" s="1"/>
  <c r="AN69" i="32" s="1"/>
  <c r="AN70" i="32" s="1"/>
  <c r="AN71" i="32" s="1"/>
  <c r="AN72" i="32" s="1"/>
  <c r="AN73" i="32" s="1"/>
  <c r="AN74" i="32" s="1"/>
  <c r="AN75" i="32" s="1"/>
  <c r="AN76" i="32" s="1"/>
  <c r="AN77" i="32" s="1"/>
  <c r="AN78" i="32" s="1"/>
  <c r="AN79" i="32" s="1"/>
  <c r="AN80" i="32" s="1"/>
  <c r="AN81" i="32" s="1"/>
  <c r="AN82" i="32" s="1"/>
  <c r="AN83" i="32" s="1"/>
  <c r="AN84" i="32" s="1"/>
  <c r="AN85" i="32" s="1"/>
  <c r="AN86" i="32" s="1"/>
  <c r="AN87" i="32" s="1"/>
  <c r="AN88" i="32" s="1"/>
  <c r="AN89" i="32" s="1"/>
  <c r="AN90" i="32" s="1"/>
  <c r="AN91" i="32" s="1"/>
  <c r="AN92" i="32" s="1"/>
  <c r="AN93" i="32" s="1"/>
  <c r="AN94" i="32" s="1"/>
  <c r="AN95" i="32" s="1"/>
  <c r="AN96" i="32" s="1"/>
  <c r="AN97" i="32" s="1"/>
  <c r="AN98" i="32" s="1"/>
  <c r="AN99" i="32" s="1"/>
  <c r="AN100" i="32" s="1"/>
  <c r="AN101" i="32" s="1"/>
  <c r="AN102" i="32" s="1"/>
  <c r="AN103" i="32" s="1"/>
  <c r="AN104" i="32" s="1"/>
  <c r="AN105" i="32" s="1"/>
  <c r="AN106" i="32" s="1"/>
  <c r="AN107" i="32" s="1"/>
  <c r="AN108" i="32" s="1"/>
  <c r="AN109" i="32" s="1"/>
  <c r="AN110" i="32" s="1"/>
  <c r="AN111" i="32" s="1"/>
  <c r="AN112" i="32" s="1"/>
  <c r="AN113" i="32" s="1"/>
  <c r="AN114" i="32" s="1"/>
  <c r="AN115" i="32" s="1"/>
  <c r="AN116" i="32" s="1"/>
  <c r="AN117" i="32" s="1"/>
  <c r="AN118" i="32" s="1"/>
  <c r="AN119" i="32" s="1"/>
  <c r="AN120" i="32" s="1"/>
  <c r="AN121" i="32" s="1"/>
  <c r="AN122" i="32" s="1"/>
  <c r="AN123" i="32" s="1"/>
  <c r="AN124" i="32" s="1"/>
  <c r="AN125" i="32" s="1"/>
  <c r="AN126" i="32" s="1"/>
  <c r="AN127" i="32" s="1"/>
  <c r="AN128" i="32" s="1"/>
  <c r="AN129" i="32" s="1"/>
  <c r="AN130" i="32" s="1"/>
  <c r="AN131" i="32" s="1"/>
  <c r="AN132" i="32" s="1"/>
  <c r="AN133" i="32" s="1"/>
  <c r="AN134" i="32" s="1"/>
  <c r="AN135" i="32" s="1"/>
  <c r="AN136" i="32" s="1"/>
  <c r="AN137" i="32" s="1"/>
  <c r="AN138" i="32" s="1"/>
  <c r="AN139" i="32" s="1"/>
  <c r="AN140" i="32" s="1"/>
  <c r="AN141" i="32" s="1"/>
  <c r="AN142" i="32" s="1"/>
  <c r="AN143" i="32" s="1"/>
  <c r="AN144" i="32" s="1"/>
  <c r="AN145" i="32" s="1"/>
  <c r="AN146" i="32" s="1"/>
  <c r="AN147" i="32" s="1"/>
  <c r="AN148" i="32" s="1"/>
  <c r="AN149" i="32" s="1"/>
  <c r="AN150" i="32" s="1"/>
  <c r="AN151" i="32" s="1"/>
  <c r="AN152" i="32" s="1"/>
  <c r="AN153" i="32" s="1"/>
  <c r="AN154" i="32" s="1"/>
  <c r="AN155" i="32" s="1"/>
  <c r="AN156" i="32" s="1"/>
  <c r="AN157" i="32" s="1"/>
  <c r="AN158" i="32" s="1"/>
  <c r="AN159" i="32" s="1"/>
  <c r="AN160" i="32" s="1"/>
  <c r="AN161" i="32" s="1"/>
  <c r="AN162" i="32" s="1"/>
  <c r="AN163" i="32" s="1"/>
  <c r="AN164" i="32" s="1"/>
  <c r="AN165" i="32" s="1"/>
  <c r="AN166" i="32" s="1"/>
  <c r="AN167" i="32" s="1"/>
  <c r="AN168" i="32" s="1"/>
  <c r="AN169" i="32" s="1"/>
  <c r="AN170" i="32" s="1"/>
  <c r="AN171" i="32" s="1"/>
  <c r="AN172" i="32" s="1"/>
  <c r="AN173" i="32" s="1"/>
  <c r="AN174" i="32" s="1"/>
  <c r="AN175" i="32" s="1"/>
  <c r="AN176" i="32" s="1"/>
  <c r="AN177" i="32" s="1"/>
  <c r="AN178" i="32" s="1"/>
  <c r="AN179" i="32" s="1"/>
  <c r="AN180" i="32" s="1"/>
  <c r="AN181" i="32" s="1"/>
  <c r="AN182" i="32" s="1"/>
  <c r="AN183" i="32" s="1"/>
  <c r="AN184" i="32" s="1"/>
  <c r="AN185" i="32" s="1"/>
  <c r="AN186" i="32" s="1"/>
  <c r="AN187" i="32" s="1"/>
  <c r="AN188" i="32" s="1"/>
  <c r="AN189" i="32" s="1"/>
  <c r="AN190" i="32" s="1"/>
  <c r="AN191" i="32" s="1"/>
  <c r="AN192" i="32" s="1"/>
  <c r="AN193" i="32" s="1"/>
  <c r="AN194" i="32" s="1"/>
  <c r="AN195" i="32" s="1"/>
  <c r="AN196" i="32" s="1"/>
  <c r="AN197" i="32" s="1"/>
  <c r="AN198" i="32" s="1"/>
  <c r="AN199" i="32" s="1"/>
  <c r="AN200" i="32" s="1"/>
  <c r="AN201" i="32" s="1"/>
  <c r="AN202" i="32" s="1"/>
  <c r="AN203" i="32" s="1"/>
  <c r="AN204" i="32" s="1"/>
  <c r="AN205" i="32" s="1"/>
  <c r="AN206" i="32" s="1"/>
  <c r="AN207" i="32" s="1"/>
  <c r="AN208" i="32" s="1"/>
  <c r="AN209" i="32" s="1"/>
  <c r="AN210" i="32" s="1"/>
  <c r="AN211" i="32" s="1"/>
  <c r="AN212" i="32" s="1"/>
  <c r="AN213" i="32" s="1"/>
  <c r="AN214" i="32" s="1"/>
  <c r="AN215" i="32" s="1"/>
  <c r="AN216" i="32" s="1"/>
  <c r="AN217" i="32" s="1"/>
  <c r="AN218" i="32" s="1"/>
  <c r="AN219" i="32" s="1"/>
  <c r="AN220" i="32" s="1"/>
  <c r="AN221" i="32" s="1"/>
  <c r="AN222" i="32" s="1"/>
  <c r="AN223" i="32" s="1"/>
  <c r="AN224" i="32" s="1"/>
  <c r="AN225" i="32" s="1"/>
  <c r="AN226" i="32" s="1"/>
  <c r="AN227" i="32" s="1"/>
  <c r="AN228" i="32" s="1"/>
  <c r="AN229" i="32" s="1"/>
  <c r="AN230" i="32" s="1"/>
  <c r="AN231" i="32" s="1"/>
  <c r="AN232" i="32" s="1"/>
  <c r="AN233" i="32" s="1"/>
  <c r="AN234" i="32" s="1"/>
  <c r="AN235" i="32" s="1"/>
  <c r="AN236" i="32" s="1"/>
  <c r="AN237" i="32" s="1"/>
  <c r="AN238" i="32" s="1"/>
  <c r="AN239" i="32" s="1"/>
  <c r="AN240" i="32" s="1"/>
  <c r="AN241" i="32" s="1"/>
  <c r="AN242" i="32" s="1"/>
  <c r="AN243" i="32" s="1"/>
  <c r="AN244" i="32" s="1"/>
  <c r="AN245" i="32" s="1"/>
  <c r="AN246" i="32" s="1"/>
  <c r="AN247" i="32" s="1"/>
  <c r="F7" i="36" s="1"/>
  <c r="F36" i="37" s="1"/>
  <c r="C39" i="37" s="1"/>
  <c r="I86" i="3"/>
  <c r="J86" i="3" s="1"/>
  <c r="K85" i="3" s="1"/>
  <c r="C40" i="37" l="1"/>
  <c r="C43" i="40" s="1"/>
  <c r="I87" i="3"/>
  <c r="J87" i="3" s="1"/>
  <c r="K86" i="3" s="1"/>
  <c r="I88" i="3" l="1"/>
  <c r="J88" i="3" s="1"/>
  <c r="K87" i="3" s="1"/>
  <c r="L88" i="3" s="1"/>
  <c r="L89" i="3" s="1"/>
  <c r="C6" i="35" l="1"/>
  <c r="B1" i="33"/>
  <c r="D3" i="33" s="1"/>
  <c r="C7" i="35" l="1"/>
  <c r="C8" i="35" s="1"/>
  <c r="F9" i="35" s="1"/>
  <c r="C12" i="35" l="1"/>
  <c r="B41" i="35" s="1"/>
  <c r="C37"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B11" authorId="0" shapeId="0" xr:uid="{753595B3-9467-4690-9DC6-B0C8EA26BB76}">
      <text>
        <r>
          <rPr>
            <b/>
            <sz val="8"/>
            <color indexed="10"/>
            <rFont val="Tahoma"/>
            <family val="2"/>
          </rPr>
          <t>IMPORTANTE:</t>
        </r>
        <r>
          <rPr>
            <b/>
            <sz val="8"/>
            <color indexed="81"/>
            <rFont val="Tahoma"/>
            <family val="2"/>
          </rPr>
          <t xml:space="preserve"> </t>
        </r>
        <r>
          <rPr>
            <u/>
            <sz val="8"/>
            <color indexed="81"/>
            <rFont val="Tahoma"/>
            <family val="2"/>
          </rPr>
          <t>A partir de esta fila</t>
        </r>
        <r>
          <rPr>
            <sz val="8"/>
            <color indexed="81"/>
            <rFont val="Tahoma"/>
            <family val="2"/>
          </rPr>
          <t xml:space="preserve"> ingresa la fecha de inicio por cada movimiento de tu constancia de semanas cotizadas y su salario registrado por cada una.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 LARA</author>
    <author>TUPLANDERETIRO .MX</author>
  </authors>
  <commentList>
    <comment ref="B4" authorId="0" shapeId="0" xr:uid="{5276D7CF-E975-417C-A7AF-095CB75919C6}">
      <text>
        <r>
          <rPr>
            <b/>
            <sz val="9"/>
            <color indexed="81"/>
            <rFont val="Tahoma"/>
            <family val="2"/>
          </rPr>
          <t xml:space="preserve">FECHA DE CÁLCULO DEL PROYECTO:
</t>
        </r>
        <r>
          <rPr>
            <sz val="9"/>
            <color indexed="81"/>
            <rFont val="Tahoma"/>
            <family val="2"/>
          </rPr>
          <t>Esta fecha es necesaria para calcular la celda de "EDAD ACTUAL" y "FECHA CALCULADA PARA EL RETIRO (DD/MM/AAAA). A menos de que desees hacer una proyección en años pasados o futuros, se sugiere indicar la fecha presente.</t>
        </r>
      </text>
    </comment>
    <comment ref="E4" authorId="1" shapeId="0" xr:uid="{74095DD8-CCF4-4D34-9A85-57CEA9350FA7}">
      <text>
        <r>
          <rPr>
            <b/>
            <sz val="9"/>
            <color indexed="81"/>
            <rFont val="Tahoma"/>
            <family val="2"/>
          </rPr>
          <t>TUPLANDERETIRO .MX:</t>
        </r>
        <r>
          <rPr>
            <sz val="9"/>
            <color indexed="81"/>
            <rFont val="Tahoma"/>
            <family val="2"/>
          </rPr>
          <t xml:space="preserve">
- SI VAS A PROYECTAR UNA PENSIÓN PARA 2025 (AÑO ACTUAL) O DEL FUTURO (EJEMPLO: 2026), INGRESA LA FECHA ACTUAL.
- SI YA TIENES UNA FECHA DE BAJA EN EL IMSS Y NO PLANEAS VOLVER A COTIZAR, INGRESA LA FECHA EN LA QUE CAUSASTE BAJA (FECHA DE BAJA EN CONSTANCIA).
</t>
        </r>
      </text>
    </comment>
    <comment ref="E6" authorId="0" shapeId="0" xr:uid="{BD98F1E2-8B16-4574-BBBA-2E7B596BDD00}">
      <text>
        <r>
          <rPr>
            <sz val="8.5"/>
            <color indexed="81"/>
            <rFont val="Cambria"/>
            <family val="1"/>
            <scheme val="major"/>
          </rPr>
          <t xml:space="preserve">NOTA: INDEPENDIENTE A LA EDAD EN QUE DECIDA INICIAR SU TRÁMITE DE PENSIÓN, </t>
        </r>
        <r>
          <rPr>
            <b/>
            <sz val="8.5"/>
            <color indexed="81"/>
            <rFont val="Cambria"/>
            <family val="1"/>
            <scheme val="major"/>
          </rPr>
          <t xml:space="preserve">SI SE ESPERA 6 MESES MÁS UN DÍA. PARA EL INSTITUTO USTED TENDRA LA EDAD SIGUIENTE.
</t>
        </r>
        <r>
          <rPr>
            <b/>
            <sz val="8.5"/>
            <color indexed="10"/>
            <rFont val="Cambria"/>
            <family val="1"/>
            <scheme val="major"/>
          </rPr>
          <t xml:space="preserve">EDAD: 60 AÑOS
EDAD: 60 AÑOS CON 6 MESES MÁS UN DÍA -----&gt; 61 AÑOS
</t>
        </r>
        <r>
          <rPr>
            <b/>
            <sz val="8.5"/>
            <color indexed="81"/>
            <rFont val="Cambria"/>
            <family val="1"/>
            <scheme val="major"/>
          </rPr>
          <t>PORCENTAJE DE PENSIÓN A LOS 60 AÑOS</t>
        </r>
        <r>
          <rPr>
            <b/>
            <sz val="8.5"/>
            <color indexed="10"/>
            <rFont val="Cambria"/>
            <family val="1"/>
            <scheme val="major"/>
          </rPr>
          <t xml:space="preserve">: 75%
</t>
        </r>
        <r>
          <rPr>
            <b/>
            <sz val="8.5"/>
            <color indexed="81"/>
            <rFont val="Cambria"/>
            <family val="1"/>
            <scheme val="major"/>
          </rPr>
          <t>PORCENTAJE DE PENSIÓN A LOS 61 AÑOS</t>
        </r>
        <r>
          <rPr>
            <b/>
            <sz val="8.5"/>
            <color indexed="10"/>
            <rFont val="Cambria"/>
            <family val="1"/>
            <scheme val="major"/>
          </rPr>
          <t xml:space="preserve">: 80%
</t>
        </r>
      </text>
    </comment>
    <comment ref="B8" authorId="0" shapeId="0" xr:uid="{AE3502B5-2D8B-4A7A-A064-89854F48B443}">
      <text>
        <r>
          <rPr>
            <b/>
            <sz val="8.5"/>
            <color indexed="81"/>
            <rFont val="Cambria"/>
            <family val="1"/>
          </rPr>
          <t xml:space="preserve">SEMANAS POR ACLARAR: </t>
        </r>
        <r>
          <rPr>
            <sz val="8.5"/>
            <color indexed="81"/>
            <rFont val="Cambria"/>
            <family val="1"/>
          </rPr>
          <t xml:space="preserve">SEMANAS NO COTIZADAS O DESCONTADAS POR SOLICITAR "AYUDA" POR DESEMPLEO. </t>
        </r>
        <r>
          <rPr>
            <u/>
            <sz val="8.5"/>
            <color indexed="81"/>
            <rFont val="Cambria"/>
            <family val="1"/>
          </rPr>
          <t>SE PUEDEN RECUPERAR AL PAGARLAS AL IMSS DE MANERA RETROACTIVA (ES  OPCIONAL)</t>
        </r>
      </text>
    </comment>
    <comment ref="B9" authorId="0" shapeId="0" xr:uid="{432EB8E6-5449-4E1D-93A6-F6932461CBBD}">
      <text>
        <r>
          <rPr>
            <b/>
            <sz val="9"/>
            <color indexed="81"/>
            <rFont val="Tahoma"/>
            <family val="2"/>
          </rPr>
          <t>EN CASO DE PLANEAR SEGUIR TRABAJANDO CON ALTA ANTE EL IMSS:</t>
        </r>
        <r>
          <rPr>
            <sz val="9"/>
            <color indexed="81"/>
            <rFont val="Tahoma"/>
            <family val="2"/>
          </rPr>
          <t xml:space="preserve">
La calculadora no tiene forma de conocer el salario con el que seguirás cotizando. Si respondes que SI planeas seguir trabajando se agregaran las semanas cotizadas restantes hasta la fecha indicada como "edad a la que quieres retirarte"; sin embargo el salario promedio de las últimas 250 se seguirá tomando como el PREVIAMENTE CALCULADO. Si deseas agregar un nuevo salario (estimado) para estas semanas añadidas debes hacerlo desde la pestaña "CAL. PROM. 250 SEM".</t>
        </r>
      </text>
    </comment>
    <comment ref="B15" authorId="0" shapeId="0" xr:uid="{7A66DA8F-420B-41B6-8920-72FC224654B8}">
      <text>
        <r>
          <rPr>
            <b/>
            <sz val="8.5"/>
            <color indexed="8"/>
            <rFont val="Cambria"/>
            <family val="1"/>
          </rPr>
          <t>SEMANAS POR COTIZAR:</t>
        </r>
        <r>
          <rPr>
            <sz val="8.5"/>
            <color indexed="8"/>
            <rFont val="Cambria"/>
            <family val="1"/>
          </rPr>
          <t xml:space="preserve"> SON SEMANAS QUE CONSIDERANDO </t>
        </r>
        <r>
          <rPr>
            <u/>
            <sz val="8.5"/>
            <color indexed="8"/>
            <rFont val="Cambria"/>
            <family val="1"/>
          </rPr>
          <t>LA FECHA DE CÁLCULO DE SU PROYECTO Y LA FECHA DE RETIRO</t>
        </r>
        <r>
          <rPr>
            <sz val="8.5"/>
            <color indexed="8"/>
            <rFont val="Cambria"/>
            <family val="1"/>
          </rPr>
          <t xml:space="preserve"> SE PUEDE DETERMINAR
**</t>
        </r>
        <r>
          <rPr>
            <b/>
            <sz val="8.5"/>
            <color indexed="8"/>
            <rFont val="Cambria"/>
            <family val="1"/>
          </rPr>
          <t>Multiplicando: 52 semanas (que tiene un año natural) * el número de años restantes hasta la fecha de retiro.**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B4" authorId="0" shapeId="0" xr:uid="{EF06AF46-C9FA-4E30-8F38-BC386DF0C1FD}">
      <text>
        <r>
          <rPr>
            <b/>
            <sz val="9"/>
            <color indexed="10"/>
            <rFont val="Tahoma"/>
            <family val="2"/>
          </rPr>
          <t>IMPORTANTE:</t>
        </r>
        <r>
          <rPr>
            <sz val="9"/>
            <color indexed="81"/>
            <rFont val="Tahoma"/>
            <family val="2"/>
          </rPr>
          <t xml:space="preserve"> Para elaborar una proyección del valor de la UMA para los años  siguientes; ingresa el valor de la UMA propuesta del listado de los años 2024 a 2040, en el cuadro de "Elementos clave" 
</t>
        </r>
      </text>
    </comment>
    <comment ref="B12" authorId="0" shapeId="0" xr:uid="{048EA7F3-C2B0-4B01-9B98-60A54B4087FC}">
      <text>
        <r>
          <rPr>
            <b/>
            <sz val="9"/>
            <color indexed="81"/>
            <rFont val="Tahoma"/>
            <family val="2"/>
          </rPr>
          <t xml:space="preserve">SALARIO PROMEDIO:
</t>
        </r>
        <r>
          <rPr>
            <sz val="9"/>
            <color indexed="81"/>
            <rFont val="Tahoma"/>
            <family val="2"/>
          </rPr>
          <t>PARA OBTENER SU SALARIO PROMEDIO DIARIO DE LAS ÚLTIMAS 250 SEMANAS COTIZADAS SE DEBE DE REGISTRAR EN LA PESTAÑA "SEMANAS COTIZADAS" SUS MOVIMIENTOS POR PERIODIOS LABORADOS.</t>
        </r>
      </text>
    </comment>
    <comment ref="B13" authorId="0" shapeId="0" xr:uid="{58150E93-2CAB-4064-941F-6A6A0161A862}">
      <text>
        <r>
          <rPr>
            <b/>
            <sz val="8.5"/>
            <color indexed="81"/>
            <rFont val="Cambria"/>
            <family val="1"/>
          </rPr>
          <t>VALOR DE LA UMA DIARIA:</t>
        </r>
        <r>
          <rPr>
            <sz val="8.5"/>
            <color indexed="81"/>
            <rFont val="Cambria"/>
            <family val="1"/>
          </rPr>
          <t xml:space="preserve"> ES UN INDICADOR CON EL QUE SE HACE EL CÁLCULO DE LAS PENSIONES. ESTA UNIDAD "MONETARIA" SE INTRODUJO EN 2016 EN MÉXICO. SU VALOR SE AJUSTA AÑO CON AÑO (NO ES CONSTANTE) DE ACUERDO AL INPC ANUAL DEL AÑO ANTERIOR.
PARA CONOCER EL VALOR DE LA UMA VIGENTE LO PUEDES CONSULTAR EN:                                                                                                     *     </t>
        </r>
        <r>
          <rPr>
            <u/>
            <sz val="10"/>
            <color indexed="81"/>
            <rFont val="Cambria"/>
            <family val="1"/>
          </rPr>
          <t xml:space="preserve"> </t>
        </r>
        <r>
          <rPr>
            <b/>
            <u/>
            <sz val="10"/>
            <color indexed="81"/>
            <rFont val="Cambria"/>
            <family val="1"/>
          </rPr>
          <t xml:space="preserve">          https://www.inegi.org.mx/temas/uma/</t>
        </r>
      </text>
    </comment>
    <comment ref="C13" authorId="0" shapeId="0" xr:uid="{31408044-D9E4-4378-AB80-F715A16C48D3}">
      <text>
        <r>
          <rPr>
            <b/>
            <sz val="9"/>
            <color indexed="81"/>
            <rFont val="Tahoma"/>
            <family val="2"/>
          </rPr>
          <t>VALOR DE LA UMA:</t>
        </r>
        <r>
          <rPr>
            <sz val="9"/>
            <color indexed="81"/>
            <rFont val="Tahoma"/>
            <family val="2"/>
          </rPr>
          <t xml:space="preserve">
Si tu proyección de pensión es para un año diferente a 2024, puedes considera usar el valor proyectado de la UMA diaria para el año deseado. Considera que la proyección no representa una certeza sobre el valor real que tendrá este elemento.</t>
        </r>
      </text>
    </comment>
    <comment ref="B14" authorId="0" shapeId="0" xr:uid="{40132B67-B03D-4CF7-86D8-4D0FD13EB064}">
      <text>
        <r>
          <rPr>
            <b/>
            <sz val="8.5"/>
            <color indexed="81"/>
            <rFont val="Cambria"/>
            <family val="1"/>
            <scheme val="major"/>
          </rPr>
          <t xml:space="preserve">SALARIO MÍNIMO DIARIO: </t>
        </r>
        <r>
          <rPr>
            <sz val="8.5"/>
            <color indexed="81"/>
            <rFont val="Cambria"/>
            <family val="1"/>
            <scheme val="major"/>
          </rPr>
          <t xml:space="preserve">EL SALARIO MÍNIMO DEL AÑO VIGENTE EN MÉXICO, IMPLICA UNA GARANTÍA CUANDO SE DETERMINA EL MONTO DE UNA PENSIÓN. LA LEY DE SEGURIDAD SOCIAL DE 1973 ESTABLECE 
</t>
        </r>
        <r>
          <rPr>
            <u/>
            <sz val="8.5"/>
            <color indexed="81"/>
            <rFont val="Cambria"/>
            <family val="1"/>
            <scheme val="major"/>
          </rPr>
          <t>"QUE LOS PENSIONADOS TIENEN ASEGURADO COMO MONTO DE PENSION MÍNIMA EL EQUIVALENTE A:</t>
        </r>
        <r>
          <rPr>
            <b/>
            <sz val="8.5"/>
            <color indexed="81"/>
            <rFont val="Cambria"/>
            <family val="1"/>
            <scheme val="major"/>
          </rPr>
          <t xml:space="preserve"> 30.4 DIAS DE SALARIO MINIMO +11% POR DECRETO DEL PRESIDENTE VICENTE FOX"</t>
        </r>
      </text>
    </comment>
    <comment ref="C14" authorId="0" shapeId="0" xr:uid="{3D1D2E17-0CE5-4A47-912B-1340D34028AD}">
      <text>
        <r>
          <rPr>
            <b/>
            <sz val="9"/>
            <color indexed="81"/>
            <rFont val="Tahoma"/>
            <family val="2"/>
          </rPr>
          <t>SALARIO MÍNIMO:</t>
        </r>
        <r>
          <rPr>
            <sz val="9"/>
            <color indexed="81"/>
            <rFont val="Tahoma"/>
            <family val="2"/>
          </rPr>
          <t xml:space="preserve">
Si tu proyección de pensión es para un año diferente a 2024, puedes considera usar el valor proyectado del Salario Mínimo para el año deseado. Considera que la proyección no representa una certeza sobre el valor real que tendrá este elemento.</t>
        </r>
      </text>
    </comment>
    <comment ref="B15" authorId="0" shapeId="0" xr:uid="{8213AA2E-9D44-44A0-A818-5C1FAE49A6DD}">
      <text>
        <r>
          <rPr>
            <b/>
            <sz val="8.5"/>
            <color indexed="81"/>
            <rFont val="Cambria"/>
            <family val="1"/>
            <scheme val="major"/>
          </rPr>
          <t>SALARIO PROPORCIONAL EN UMA's:</t>
        </r>
        <r>
          <rPr>
            <sz val="8.5"/>
            <color indexed="81"/>
            <rFont val="Cambria"/>
            <family val="1"/>
            <scheme val="major"/>
          </rPr>
          <t xml:space="preserve"> EL RESULTADO DE DIVIDIR "EL S.D.P DE LAS ÚLTIMAS 250 SEMANAS ENTRE EL VALOR DE LA UMA CORRESPONDIENTE AL AÑO" </t>
        </r>
        <r>
          <rPr>
            <b/>
            <sz val="8.5"/>
            <color indexed="81"/>
            <rFont val="Cambria"/>
            <family val="1"/>
            <scheme val="major"/>
          </rPr>
          <t>NOS INDICARA EL SALARIO PROPORCIONAL EN UNIDADES DE UMA´S</t>
        </r>
      </text>
    </comment>
    <comment ref="B20" authorId="0" shapeId="0" xr:uid="{D56C67EB-3AE6-42A7-BA16-6C111EB18402}">
      <text>
        <r>
          <rPr>
            <b/>
            <sz val="8.5"/>
            <color indexed="81"/>
            <rFont val="Cambria"/>
            <family val="1"/>
            <scheme val="major"/>
          </rPr>
          <t xml:space="preserve">PORCENTAJE DE LA CUANTÍA BÁSICA: </t>
        </r>
        <r>
          <rPr>
            <sz val="8.5"/>
            <color indexed="81"/>
            <rFont val="Cambria"/>
            <family val="1"/>
            <scheme val="major"/>
          </rPr>
          <t>EL RESULTADO DEL SALARIO PROPORCIONAL EN UMA'S NOS INDICARÁ EL % DE LA CUENTÍA BÁSICA, LOCALIZANDOLO EN LA "TABLA DE PORCENTAJES DE LA LEY DE 1973" QUE VA POR RANGOS:</t>
        </r>
        <r>
          <rPr>
            <b/>
            <sz val="8.5"/>
            <color indexed="81"/>
            <rFont val="Cambria"/>
            <family val="1"/>
            <scheme val="major"/>
          </rPr>
          <t xml:space="preserve"> DE ENTRE CIERTA UNIDAD DE UMA'S HASTA OTRA UNIDAD, COMO LÍMITES FIJOS.</t>
        </r>
      </text>
    </comment>
    <comment ref="B21" authorId="0" shapeId="0" xr:uid="{9C03EE57-7844-4E54-BE57-161643EB2BD3}">
      <text>
        <r>
          <rPr>
            <b/>
            <sz val="8.5"/>
            <color indexed="81"/>
            <rFont val="Cambria"/>
            <family val="1"/>
            <scheme val="major"/>
          </rPr>
          <t>CUANTÍA BÁSICA POR DÍA:</t>
        </r>
        <r>
          <rPr>
            <sz val="8.5"/>
            <color indexed="81"/>
            <rFont val="Cambria"/>
            <family val="1"/>
            <scheme val="major"/>
          </rPr>
          <t xml:space="preserve"> ES EL RESULTADO DE MULTIPLICAR; EL S.D.P DE LAS ÚLTIMAS 250 SEMANAS * % CORRESPONDIENTE EN COLUMNA DE CUANTÍA BASICA DE LA TABLA DE LA LEY 1973
    </t>
        </r>
        <r>
          <rPr>
            <b/>
            <sz val="8.5"/>
            <color indexed="81"/>
            <rFont val="Cambria"/>
            <family val="1"/>
            <scheme val="major"/>
          </rPr>
          <t>**Para anualizar el resultado se debe multiplicar por 365**</t>
        </r>
        <r>
          <rPr>
            <sz val="8.5"/>
            <color indexed="81"/>
            <rFont val="Cambria"/>
            <family val="1"/>
            <scheme val="major"/>
          </rPr>
          <t xml:space="preserve">
</t>
        </r>
        <r>
          <rPr>
            <u/>
            <sz val="8.5"/>
            <color indexed="81"/>
            <rFont val="Cambria"/>
            <family val="1"/>
            <scheme val="major"/>
          </rPr>
          <t xml:space="preserve">
 ESTO NOS DARA EL TOTAL DE LA CUANTÍA BÁSICA POR AÑO</t>
        </r>
      </text>
    </comment>
    <comment ref="B28" authorId="0" shapeId="0" xr:uid="{20EF19B9-F07C-4D42-87EB-793D602E211E}">
      <text>
        <r>
          <rPr>
            <b/>
            <sz val="8.5"/>
            <color indexed="81"/>
            <rFont val="Cambria"/>
            <family val="1"/>
            <scheme val="major"/>
          </rPr>
          <t>PORCENTAJE DE INCREMENTOS A LA CUANTÍA BÁSICA:</t>
        </r>
        <r>
          <rPr>
            <sz val="8.5"/>
            <color indexed="81"/>
            <rFont val="Cambria"/>
            <family val="1"/>
            <scheme val="major"/>
          </rPr>
          <t xml:space="preserve">
DENTRO DE LA TABLA DE PORCENTAJES DE LA LEY DE 1973, HAY UNA COLUMNA PARA INCREMENTOS ANUALES. DEPENDIENDO DEL RESULTADO DEL SALARIO PROPORCIONAL EN UMAS</t>
        </r>
        <r>
          <rPr>
            <b/>
            <sz val="8.5"/>
            <color indexed="81"/>
            <rFont val="Cambria"/>
            <family val="1"/>
            <scheme val="major"/>
          </rPr>
          <t>, SE LE ASIGNARA EN CONJUNTO EL VALOR INDICADO (%) PARA ESTOS INCREMENTOS</t>
        </r>
      </text>
    </comment>
    <comment ref="B29" authorId="0" shapeId="0" xr:uid="{14B5D436-4A16-4A51-BEB0-03682DBFDE33}">
      <text>
        <r>
          <rPr>
            <b/>
            <sz val="8.5"/>
            <color indexed="81"/>
            <rFont val="Cambria"/>
            <family val="1"/>
            <scheme val="major"/>
          </rPr>
          <t>INCREMENTOS DIARIOS:</t>
        </r>
        <r>
          <rPr>
            <sz val="8.5"/>
            <color indexed="81"/>
            <rFont val="Cambria"/>
            <family val="1"/>
            <scheme val="major"/>
          </rPr>
          <t xml:space="preserve"> RESULTADO DE MULTIPLICAR; EL S.D.P DE LAS ÚLTIMAS 250 SEMANAS POR EL % DE INCREMENTOS A LA CUANTÍA BÁSICA
</t>
        </r>
        <r>
          <rPr>
            <b/>
            <sz val="8.5"/>
            <color indexed="81"/>
            <rFont val="Cambria"/>
            <family val="1"/>
            <scheme val="major"/>
          </rPr>
          <t xml:space="preserve">
     **El resultado se debe anualizar multiplicandolo por 365**</t>
        </r>
        <r>
          <rPr>
            <sz val="8.5"/>
            <color indexed="81"/>
            <rFont val="Cambria"/>
            <family val="1"/>
            <scheme val="major"/>
          </rPr>
          <t xml:space="preserve">
</t>
        </r>
      </text>
    </comment>
    <comment ref="B32" authorId="0" shapeId="0" xr:uid="{F77C9DD2-9ED5-425C-A801-539764EC2194}">
      <text>
        <r>
          <rPr>
            <b/>
            <sz val="8.5"/>
            <color indexed="81"/>
            <rFont val="Cambria"/>
            <family val="1"/>
            <scheme val="major"/>
          </rPr>
          <t xml:space="preserve">TOTAL DE AÑOS DESPUES DE LAS PRIMERAS 500 SEMANAS: </t>
        </r>
        <r>
          <rPr>
            <sz val="8.5"/>
            <color indexed="81"/>
            <rFont val="Cambria"/>
            <family val="1"/>
            <scheme val="major"/>
          </rPr>
          <t xml:space="preserve">LA LEY DE 1973 NOS INDICA QUE "SE DEBE DESCONTAR LAS PRIMERAS 500 SEMANAS DE COTIZACIÓN AL NÚMERO TOTAL DE SEMANAS COTIZADAS"
</t>
        </r>
        <r>
          <rPr>
            <b/>
            <sz val="8.5"/>
            <color indexed="81"/>
            <rFont val="Cambria"/>
            <family val="1"/>
            <scheme val="major"/>
          </rPr>
          <t>LAS SEMANAS RESULTANTES SE DEBEN ANUALIZAR Y MULTIPLICAR AL RESULTADO DEL  INCREMENTO ANUAL  ANTERIOR.</t>
        </r>
        <r>
          <rPr>
            <sz val="8.5"/>
            <color indexed="81"/>
            <rFont val="Cambria"/>
            <family val="1"/>
            <scheme val="major"/>
          </rPr>
          <t xml:space="preserve">
</t>
        </r>
        <r>
          <rPr>
            <u/>
            <sz val="8.5"/>
            <color indexed="81"/>
            <rFont val="Cambria"/>
            <family val="1"/>
            <scheme val="major"/>
          </rPr>
          <t>ESTO NOS DARA EL TOTAL DE INCREMENTOS ANUALES A LA CUANTÍA BÁSICA</t>
        </r>
      </text>
    </comment>
    <comment ref="B33" authorId="0" shapeId="0" xr:uid="{5B69F6CB-9809-41EF-A443-CD808EB07E6B}">
      <text>
        <r>
          <rPr>
            <b/>
            <sz val="8.5"/>
            <color indexed="81"/>
            <rFont val="Cambria"/>
            <family val="1"/>
            <scheme val="major"/>
          </rPr>
          <t xml:space="preserve">ARTÍCULO 167 LSS: </t>
        </r>
        <r>
          <rPr>
            <sz val="8.5"/>
            <color indexed="81"/>
            <rFont val="Cambria"/>
            <family val="1"/>
            <scheme val="major"/>
          </rPr>
          <t xml:space="preserve">LOS INCREMENTES A LA CUANTÍA BÁSICA, TRATÁNDOSE DE FRACCIONES DE AÑO, SE
CALCULARÁN EN LA SIGUIENTE FORMA:
</t>
        </r>
        <r>
          <rPr>
            <b/>
            <sz val="8.5"/>
            <color indexed="81"/>
            <rFont val="Cambria"/>
            <family val="1"/>
            <scheme val="major"/>
          </rPr>
          <t xml:space="preserve">
A) CON TRECE A VEINTISÉIS SEMANAS RECONOCIDAS, SE TIENE DERECHO AL CINCUENTA POR CIENTO DEL INCREMENTO ANUAL.
B) CON MÁS DE VEINTISÉIS SEMANAS RECONOCIDAS, SE TIENE DERECHO AL CIEN POR CIENTO DEL INCREMENTO ANUAL.</t>
        </r>
        <r>
          <rPr>
            <sz val="8.5"/>
            <color indexed="81"/>
            <rFont val="Cambria"/>
            <family val="1"/>
            <scheme val="major"/>
          </rPr>
          <t xml:space="preserve">
</t>
        </r>
      </text>
    </comment>
    <comment ref="C38" authorId="0" shapeId="0" xr:uid="{20743B7C-7072-4A83-A8EA-F165114C058D}">
      <text>
        <r>
          <rPr>
            <b/>
            <sz val="8.5"/>
            <color indexed="81"/>
            <rFont val="Cambria"/>
            <family val="1"/>
            <scheme val="major"/>
          </rPr>
          <t>CUANTÍA TOTAL DE LA PENSIÓN:</t>
        </r>
        <r>
          <rPr>
            <sz val="8.5"/>
            <color indexed="81"/>
            <rFont val="Cambria"/>
            <family val="1"/>
            <scheme val="major"/>
          </rPr>
          <t xml:space="preserve">
RESULTADO DE SUMAR; </t>
        </r>
        <r>
          <rPr>
            <u/>
            <sz val="8.5"/>
            <color indexed="81"/>
            <rFont val="Cambria"/>
            <family val="1"/>
            <scheme val="major"/>
          </rPr>
          <t>TOTAL DE LA CUANTÍA BÁSICA ANUAL + TOTAL DE INCREMENTOS ANUALES A LA CUANTÍA BÁSICA</t>
        </r>
      </text>
    </comment>
    <comment ref="B41" authorId="0" shapeId="0" xr:uid="{830D19E9-5245-4F8F-9BCE-D0188CB2BD4C}">
      <text>
        <r>
          <rPr>
            <b/>
            <sz val="8.5"/>
            <color indexed="81"/>
            <rFont val="Cambria"/>
            <family val="1"/>
            <scheme val="major"/>
          </rPr>
          <t>LAS ASIGNACIONES:</t>
        </r>
        <r>
          <rPr>
            <sz val="8.5"/>
            <color indexed="81"/>
            <rFont val="Cambria"/>
            <family val="1"/>
            <scheme val="major"/>
          </rPr>
          <t xml:space="preserve"> HAY BONIFICACIONES QUE SE DEBEN SUMAR DEPENDIENDO DEL CONTEXTO DE LA VIDA ACTUAL DEL CLIENTE. LA LEY DE 1973 NOS INDICA QUE:
</t>
        </r>
        <r>
          <rPr>
            <b/>
            <sz val="8.5"/>
            <color indexed="81"/>
            <rFont val="Cambria"/>
            <family val="1"/>
            <scheme val="major"/>
          </rPr>
          <t xml:space="preserve">SI CUENTA CON ESPOSA O CONCUBINA SE LE HACE UNA BONIFICACIÓN DEL +15% AL MONTO DE SU PENSIÓN.
EN CASO DE </t>
        </r>
        <r>
          <rPr>
            <b/>
            <sz val="8.5"/>
            <color indexed="10"/>
            <rFont val="Cambria"/>
            <family val="1"/>
            <scheme val="major"/>
          </rPr>
          <t>NO</t>
        </r>
        <r>
          <rPr>
            <b/>
            <sz val="8.5"/>
            <color indexed="81"/>
            <rFont val="Cambria"/>
            <family val="1"/>
            <scheme val="major"/>
          </rPr>
          <t xml:space="preserve"> </t>
        </r>
        <r>
          <rPr>
            <b/>
            <sz val="8.5"/>
            <color indexed="10"/>
            <rFont val="Cambria"/>
            <family val="1"/>
            <scheme val="major"/>
          </rPr>
          <t>TENER ESPOSA/CONCUBINO</t>
        </r>
        <r>
          <rPr>
            <b/>
            <sz val="8.5"/>
            <color indexed="81"/>
            <rFont val="Cambria"/>
            <family val="1"/>
            <scheme val="major"/>
          </rPr>
          <t>,</t>
        </r>
        <r>
          <rPr>
            <b/>
            <sz val="8.5"/>
            <color indexed="10"/>
            <rFont val="Cambria"/>
            <family val="1"/>
            <scheme val="major"/>
          </rPr>
          <t xml:space="preserve"> NI HIJOS, NI PADRES QUE DEPENDAN ECONÓMICAMENTE</t>
        </r>
        <r>
          <rPr>
            <b/>
            <sz val="8.5"/>
            <color indexed="81"/>
            <rFont val="Cambria"/>
            <family val="1"/>
            <scheme val="major"/>
          </rPr>
          <t xml:space="preserve"> DE USTED
SE LE HACE UNA BONIFICACIÓN DEL +15% POR AYUDA ASISTENCIAL</t>
        </r>
      </text>
    </comment>
    <comment ref="B47" authorId="0" shapeId="0" xr:uid="{2907BF4A-D093-4EEF-B9AD-A066A6638C57}">
      <text>
        <r>
          <rPr>
            <b/>
            <sz val="8.5"/>
            <color indexed="81"/>
            <rFont val="Cambria"/>
            <family val="1"/>
            <scheme val="major"/>
          </rPr>
          <t xml:space="preserve">ASIGNACIÓN POR HIJOS: </t>
        </r>
        <r>
          <rPr>
            <sz val="8.5"/>
            <color indexed="81"/>
            <rFont val="Cambria"/>
            <family val="1"/>
            <scheme val="major"/>
          </rPr>
          <t xml:space="preserve"> SI ACTUALMENTE CUENTA CON HIJOS MENORES DE 16 AÑOS O BIEN, ESTUDIANTES HASTA LOS 25 AÑOS. 
</t>
        </r>
        <r>
          <rPr>
            <b/>
            <sz val="8.5"/>
            <color indexed="81"/>
            <rFont val="Cambria"/>
            <family val="1"/>
            <scheme val="major"/>
          </rPr>
          <t>SE LE HACE UNA BONIFICACÓN DEL: +10% POR CADA HIJOS QUE SE ENCUENTRE DENTRO DE ESTA ASIGNACIÓN</t>
        </r>
      </text>
    </comment>
    <comment ref="B53" authorId="0" shapeId="0" xr:uid="{F8DFFFAC-1577-4979-8484-9FD2B346E025}">
      <text>
        <r>
          <rPr>
            <b/>
            <sz val="8.5"/>
            <color indexed="81"/>
            <rFont val="Cambria"/>
            <family val="1"/>
            <scheme val="major"/>
          </rPr>
          <t xml:space="preserve">ASIGANCIÓN PARA PADRES: </t>
        </r>
        <r>
          <rPr>
            <sz val="8.5"/>
            <color indexed="81"/>
            <rFont val="Cambria"/>
            <family val="1"/>
            <scheme val="major"/>
          </rPr>
          <t xml:space="preserve">SI CUENTA CON SUS PADRES Y DEPENDEN ECONÓCMICAMENTE DE USTED, </t>
        </r>
        <r>
          <rPr>
            <b/>
            <sz val="8.5"/>
            <color indexed="81"/>
            <rFont val="Cambria"/>
            <family val="1"/>
            <scheme val="major"/>
          </rPr>
          <t xml:space="preserve">SE LE HACE UNA BONIFICACIÓN DEL +10% POR CADA PADRE DEPENDIENTE.
</t>
        </r>
        <r>
          <rPr>
            <sz val="8.5"/>
            <color indexed="81"/>
            <rFont val="Cambria"/>
            <family val="1"/>
            <scheme val="major"/>
          </rPr>
          <t xml:space="preserve">
</t>
        </r>
        <r>
          <rPr>
            <b/>
            <u/>
            <sz val="8.5"/>
            <color indexed="10"/>
            <rFont val="Cambria"/>
            <family val="1"/>
            <scheme val="major"/>
          </rPr>
          <t>SIEMPRE Y CUANDO NO CUENTE CON ESPOSA O HIJOS</t>
        </r>
        <r>
          <rPr>
            <u/>
            <sz val="8.5"/>
            <color indexed="81"/>
            <rFont val="Cambria"/>
            <family val="1"/>
            <scheme val="major"/>
          </rPr>
          <t xml:space="preserve">
</t>
        </r>
      </text>
    </comment>
    <comment ref="B59" authorId="0" shapeId="0" xr:uid="{00FAE1F7-3560-4BDB-8641-51E398DD50CE}">
      <text>
        <r>
          <rPr>
            <b/>
            <sz val="8.5"/>
            <color indexed="81"/>
            <rFont val="Cambria"/>
            <family val="1"/>
            <scheme val="major"/>
          </rPr>
          <t>AYUDA ASISTENCIAL:</t>
        </r>
        <r>
          <rPr>
            <sz val="8.5"/>
            <color indexed="10"/>
            <rFont val="Cambria"/>
            <family val="1"/>
            <scheme val="major"/>
          </rPr>
          <t xml:space="preserve"> SIEMPRE QUE NO CUENTE CON ESPOSA/CONCUBINO; NI HIJOS, NI ASCENDIENTES QUE DEPENDIERAN ECONÓMICAMENTE DE USTED, </t>
        </r>
        <r>
          <rPr>
            <b/>
            <sz val="8.5"/>
            <color indexed="81"/>
            <rFont val="Cambria"/>
            <family val="1"/>
            <scheme val="major"/>
          </rPr>
          <t>SE LE HACE UNA BONIFICACIÓN DEL +15%</t>
        </r>
      </text>
    </comment>
    <comment ref="B66" authorId="0" shapeId="0" xr:uid="{F8B1746D-98E3-464C-A07B-1281490509F4}">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69" authorId="0" shapeId="0" xr:uid="{1895B615-6A7F-4CD4-84CD-79D44BDA5474}">
      <text>
        <r>
          <rPr>
            <b/>
            <sz val="8.5"/>
            <color indexed="81"/>
            <rFont val="Cambria"/>
            <family val="1"/>
            <scheme val="major"/>
          </rPr>
          <t>ASIGNACIÓN DECRETO PRESIDENCIAL</t>
        </r>
        <r>
          <rPr>
            <sz val="8.5"/>
            <color indexed="81"/>
            <rFont val="Cambria"/>
            <family val="1"/>
            <scheme val="major"/>
          </rPr>
          <t xml:space="preserve">: EN EL AÑO 2004 SE HICERON REFORMAS EN MATERIA DE LAS PENSIONES EN MÉXICO, </t>
        </r>
        <r>
          <rPr>
            <b/>
            <sz val="8.5"/>
            <color indexed="81"/>
            <rFont val="Cambria"/>
            <family val="1"/>
            <scheme val="major"/>
          </rPr>
          <t>EL "FACTOR FOX" ES LA ÚLTIMA ASIGANCIÓN QUE SE BONIFICA AL MONTO DE LA PENSIÓN +11%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K3" authorId="0" shapeId="0" xr:uid="{74FDCA9F-1733-48EC-A6C1-C0540C2E6406}">
      <text>
        <r>
          <rPr>
            <sz val="8"/>
            <color indexed="10"/>
            <rFont val="Tahoma"/>
            <family val="2"/>
          </rPr>
          <t>IMPORTANTE:</t>
        </r>
        <r>
          <rPr>
            <sz val="8"/>
            <color indexed="81"/>
            <rFont val="Tahoma"/>
            <family val="2"/>
          </rPr>
          <t xml:space="preserve"> Para elaborar una proyección del valor de la UMA para los años  siguientes; ingresa el valor de la UMA propuesta del listado de los años 2024 a 2040, en el cuadro de "Elementos clave"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C4" authorId="0" shapeId="0" xr:uid="{7E70A4D3-112E-409F-A68D-2A25C6F470FB}">
      <text>
        <r>
          <rPr>
            <sz val="8.5"/>
            <color indexed="81"/>
            <rFont val="Cambria"/>
            <family val="1"/>
            <scheme val="major"/>
          </rPr>
          <t xml:space="preserve">NOTA: INDEPENDIENTE A LA EDAD EN QUE DECIDA INICIAR SU TRÁMITE DE PENSIÓN, </t>
        </r>
        <r>
          <rPr>
            <b/>
            <sz val="8.5"/>
            <color indexed="81"/>
            <rFont val="Cambria"/>
            <family val="1"/>
            <scheme val="major"/>
          </rPr>
          <t xml:space="preserve">SI SE ESPERA 6 MESES MÁS UN DÍA. PARA EL INSTITUTO USTED TENDRA LA EDAD SIGUIENTE.
</t>
        </r>
        <r>
          <rPr>
            <b/>
            <sz val="8.5"/>
            <color indexed="10"/>
            <rFont val="Cambria"/>
            <family val="1"/>
            <scheme val="major"/>
          </rPr>
          <t xml:space="preserve">EDAD: 60 AÑOS
EDAD: 60 AÑOS CON 6 MESES MÁS UN DÍA -----&gt; 61 AÑOS
</t>
        </r>
        <r>
          <rPr>
            <b/>
            <sz val="8.5"/>
            <color indexed="81"/>
            <rFont val="Cambria"/>
            <family val="1"/>
            <scheme val="major"/>
          </rPr>
          <t>PORCENTAJE DE PENSIÓN A LOS 60 AÑOS</t>
        </r>
        <r>
          <rPr>
            <b/>
            <sz val="8.5"/>
            <color indexed="10"/>
            <rFont val="Cambria"/>
            <family val="1"/>
            <scheme val="major"/>
          </rPr>
          <t xml:space="preserve">: 75%
</t>
        </r>
        <r>
          <rPr>
            <b/>
            <sz val="8.5"/>
            <color indexed="81"/>
            <rFont val="Cambria"/>
            <family val="1"/>
            <scheme val="major"/>
          </rPr>
          <t>PORCENTAJE DE PENSIÓN A LOS 61 AÑOS</t>
        </r>
        <r>
          <rPr>
            <b/>
            <sz val="8.5"/>
            <color indexed="10"/>
            <rFont val="Cambria"/>
            <family val="1"/>
            <scheme val="major"/>
          </rPr>
          <t xml:space="preserve">: 80%
</t>
        </r>
      </text>
    </comment>
    <comment ref="B7" authorId="0" shapeId="0" xr:uid="{0D1C0BE6-CF7E-4964-82C1-A91249FF3464}">
      <text>
        <r>
          <rPr>
            <b/>
            <sz val="8.5"/>
            <color indexed="8"/>
            <rFont val="Cambria"/>
            <family val="1"/>
          </rPr>
          <t>SEMANAS POR ACLARAR:</t>
        </r>
        <r>
          <rPr>
            <sz val="8.5"/>
            <color indexed="8"/>
            <rFont val="Cambria"/>
            <family val="1"/>
          </rPr>
          <t xml:space="preserve"> SEMANAS NO COTIZADAS O DESCONTADAS POR SOLICITAR "AYUDA" POR DESEMPLEO. SE PUEDEN RECUPERAR AL PAGARLAS AL IMSS DE MANERA RETROACTIVA (ES  OPCIONAL)</t>
        </r>
      </text>
    </comment>
    <comment ref="B14" authorId="0" shapeId="0" xr:uid="{1CF7FC14-8D25-4A25-91F4-AB7AAB4624A9}">
      <text>
        <r>
          <rPr>
            <b/>
            <sz val="8.5"/>
            <color indexed="81"/>
            <rFont val="Cambria"/>
            <family val="1"/>
            <scheme val="major"/>
          </rPr>
          <t>SALARIO PROMEDIO:</t>
        </r>
        <r>
          <rPr>
            <sz val="8.5"/>
            <color indexed="81"/>
            <rFont val="Cambria"/>
            <family val="1"/>
            <scheme val="major"/>
          </rPr>
          <t xml:space="preserve">
PARA OBTENER SU SALARIO PROMEDIO DIARIO DE LAS ÚLTIMAS 250 SEMANAS COTIZADAS </t>
        </r>
        <r>
          <rPr>
            <b/>
            <sz val="8.5"/>
            <color indexed="10"/>
            <rFont val="Cambria"/>
            <family val="1"/>
            <scheme val="major"/>
          </rPr>
          <t>SE DEBE DE REGISTRAR EN LA PESTAÑA "SEMANAS COTIZADAS" SUS MOVIMIENTOS POR PERIODIOS LABORADOS</t>
        </r>
      </text>
    </comment>
    <comment ref="B16" authorId="0" shapeId="0" xr:uid="{C9833B2F-EB9D-47D6-889C-DEE1EC0FBF1C}">
      <text>
        <r>
          <rPr>
            <b/>
            <sz val="8.5"/>
            <color indexed="8"/>
            <rFont val="Cambria"/>
            <family val="1"/>
          </rPr>
          <t>TOTAL DE SEMANAS COTIZADAS PARA EL CÁLCULO DE PENSIÓN</t>
        </r>
        <r>
          <rPr>
            <sz val="8.5"/>
            <color indexed="8"/>
            <rFont val="Cambria"/>
            <family val="1"/>
          </rPr>
          <t xml:space="preserve">: </t>
        </r>
        <r>
          <rPr>
            <u/>
            <sz val="8.5"/>
            <color indexed="8"/>
            <rFont val="Cambria"/>
            <family val="1"/>
          </rPr>
          <t>SEMANAS ACTUALES + SEMANAS POR COTIZAR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F3" authorId="0" shapeId="0" xr:uid="{D8D814E6-088E-4007-ACF9-153DD34D168D}">
      <text>
        <r>
          <rPr>
            <b/>
            <sz val="9"/>
            <color indexed="10"/>
            <rFont val="Tahoma"/>
            <family val="2"/>
          </rPr>
          <t>IMPORTANTE:</t>
        </r>
        <r>
          <rPr>
            <sz val="9"/>
            <color indexed="81"/>
            <rFont val="Tahoma"/>
            <family val="2"/>
          </rPr>
          <t xml:space="preserve"> Para elaborar una proyección del valor de la UMA para los años  siguientes; ingresa el valor de la UMA propuesta del listado de los años 2024 a 2040, en el cuadro de "Elementos clave" 
</t>
        </r>
      </text>
    </comment>
    <comment ref="B4" authorId="0" shapeId="0" xr:uid="{7926A814-D5F4-4E48-B50C-7B136229BF3A}">
      <text>
        <r>
          <rPr>
            <b/>
            <sz val="9"/>
            <color indexed="81"/>
            <rFont val="Tahoma"/>
            <family val="2"/>
          </rPr>
          <t xml:space="preserve">SALARIO PROMEDIO:
</t>
        </r>
        <r>
          <rPr>
            <sz val="9"/>
            <color indexed="81"/>
            <rFont val="Tahoma"/>
            <family val="2"/>
          </rPr>
          <t>PARA OBTENER SU SALARIO PROMEDIO DIARIO DE LAS ÚLTIMAS 250 SEMANAS COTIZADAS SE DEBE DE REGISTRAR EN LA PESTAÑA "SEMANAS COTIZADAS" SUS MOVIMIENTOS POR PERIODIOS LABORADOS.</t>
        </r>
      </text>
    </comment>
    <comment ref="B5" authorId="0" shapeId="0" xr:uid="{FE49024A-9F4A-4274-84AA-186800A725AD}">
      <text>
        <r>
          <rPr>
            <b/>
            <sz val="8.5"/>
            <color indexed="81"/>
            <rFont val="Cambria"/>
            <family val="1"/>
          </rPr>
          <t>VALOR DE LA UMA DIARIA:</t>
        </r>
        <r>
          <rPr>
            <sz val="8.5"/>
            <color indexed="81"/>
            <rFont val="Cambria"/>
            <family val="1"/>
          </rPr>
          <t xml:space="preserve"> ES UN INDICADOR CON EL QUE SE HACE EL CÁLCULO DE LAS PENSIONES. ESTA UNIDAD "MONETARIA" SE INTRODUJO EN 2016 EN MÉXICO. SU VALOR SE AJUSTA AÑO CON AÑO (NO ES CONSTANTE) DE ACUERDO AL INPC ANUAL DEL AÑO ANTERIOR.
PARA CONOCER EL VALOR DE LA UMA VIGENTE LO PUEDES CONSULTAR EN:                                                                                                     *     </t>
        </r>
        <r>
          <rPr>
            <u/>
            <sz val="10"/>
            <color indexed="81"/>
            <rFont val="Cambria"/>
            <family val="1"/>
          </rPr>
          <t xml:space="preserve"> </t>
        </r>
        <r>
          <rPr>
            <b/>
            <u/>
            <sz val="10"/>
            <color indexed="81"/>
            <rFont val="Cambria"/>
            <family val="1"/>
          </rPr>
          <t xml:space="preserve">          https://www.inegi.org.mx/temas/uma/</t>
        </r>
      </text>
    </comment>
    <comment ref="C5" authorId="0" shapeId="0" xr:uid="{08AC2172-3D3B-4FA0-A2A5-801FFDF891A4}">
      <text>
        <r>
          <rPr>
            <b/>
            <sz val="9"/>
            <color indexed="81"/>
            <rFont val="Tahoma"/>
            <family val="2"/>
          </rPr>
          <t>VALOR DE LA UMA:</t>
        </r>
        <r>
          <rPr>
            <sz val="9"/>
            <color indexed="81"/>
            <rFont val="Tahoma"/>
            <family val="2"/>
          </rPr>
          <t xml:space="preserve">
Si tu proyección de pensión es para un año diferente a 2024, puedes considera usar el valor proyectado de la UMA diaria para el año deseado. Considera que la proyección no representa una certeza sobre el valor real que tendrá este elemento.</t>
        </r>
      </text>
    </comment>
    <comment ref="B6" authorId="0" shapeId="0" xr:uid="{8A9704F8-40CA-4BF2-B3CE-1D922CF89250}">
      <text>
        <r>
          <rPr>
            <b/>
            <sz val="8.5"/>
            <color indexed="81"/>
            <rFont val="Cambria"/>
            <family val="1"/>
            <scheme val="major"/>
          </rPr>
          <t xml:space="preserve">SALARIO MÍNIMO DIARIO: </t>
        </r>
        <r>
          <rPr>
            <sz val="8.5"/>
            <color indexed="81"/>
            <rFont val="Cambria"/>
            <family val="1"/>
            <scheme val="major"/>
          </rPr>
          <t xml:space="preserve">EL SALARIO MÍNIMO DEL AÑO VIGENTE EN MÉXICO, IMPLICA UNA GARANTÍA CUANDO SE DETERMINA EL MONTO DE UNA PENSIÓN. LA LEY DE SEGURIDAD SOCIAL DE 1973 ESTABLECE 
</t>
        </r>
        <r>
          <rPr>
            <u/>
            <sz val="8.5"/>
            <color indexed="81"/>
            <rFont val="Cambria"/>
            <family val="1"/>
            <scheme val="major"/>
          </rPr>
          <t>"QUE LOS PENSIONADOS TIENEN ASEGURADO COMO MONTO DE PENSION MÍNIMA EL EQUIVALENTE A:</t>
        </r>
        <r>
          <rPr>
            <b/>
            <sz val="8.5"/>
            <color indexed="81"/>
            <rFont val="Cambria"/>
            <family val="1"/>
            <scheme val="major"/>
          </rPr>
          <t xml:space="preserve"> 30.4 DIAS DE SALARIO MINIMO +11% POR DECRETO DEL PRESIDENTE VICENTE FOX"</t>
        </r>
      </text>
    </comment>
    <comment ref="C6" authorId="0" shapeId="0" xr:uid="{A8049D8C-5380-4B23-A723-B8C3839A2115}">
      <text>
        <r>
          <rPr>
            <b/>
            <sz val="9"/>
            <color indexed="81"/>
            <rFont val="Tahoma"/>
            <family val="2"/>
          </rPr>
          <t>SALARIO MÍNIMO:</t>
        </r>
        <r>
          <rPr>
            <sz val="9"/>
            <color indexed="81"/>
            <rFont val="Tahoma"/>
            <family val="2"/>
          </rPr>
          <t xml:space="preserve">
Si tu proyección de pensión es para un año diferente a 2024, puedes considera usar el valor proyectado del Salario Mínimo para el año deseado. Considera que la proyección no representa una certeza sobre el valor real que tendrá este elemento.</t>
        </r>
      </text>
    </comment>
    <comment ref="B7" authorId="0" shapeId="0" xr:uid="{3A0FE90B-FD63-46F1-AE51-374BCA24FE50}">
      <text>
        <r>
          <rPr>
            <b/>
            <sz val="8.5"/>
            <color indexed="81"/>
            <rFont val="Cambria"/>
            <family val="1"/>
            <scheme val="major"/>
          </rPr>
          <t>SALARIO PROPORCIONAL EN UMA's:</t>
        </r>
        <r>
          <rPr>
            <sz val="8.5"/>
            <color indexed="81"/>
            <rFont val="Cambria"/>
            <family val="1"/>
            <scheme val="major"/>
          </rPr>
          <t xml:space="preserve"> EL RESULTADO DE DIVIDIR "EL S.D.P DE LAS ÚLTIMAS 250 SEMANAS ENTRE EL VALOR DE LA UMA CORRESPONDIENTE AL AÑO" </t>
        </r>
        <r>
          <rPr>
            <b/>
            <sz val="8.5"/>
            <color indexed="81"/>
            <rFont val="Cambria"/>
            <family val="1"/>
            <scheme val="major"/>
          </rPr>
          <t>NOS INDICARA EL SALARIO PROPORCIONAL EN UNIDADES DE UMA´S</t>
        </r>
      </text>
    </comment>
    <comment ref="B12" authorId="0" shapeId="0" xr:uid="{962C4DEB-6363-44F9-91B9-8577A49DDEDF}">
      <text>
        <r>
          <rPr>
            <b/>
            <sz val="8.5"/>
            <color indexed="81"/>
            <rFont val="Cambria"/>
            <family val="1"/>
            <scheme val="major"/>
          </rPr>
          <t xml:space="preserve">PORCENTAJE DE LA CUANTÍA BÁSICA: </t>
        </r>
        <r>
          <rPr>
            <sz val="8.5"/>
            <color indexed="81"/>
            <rFont val="Cambria"/>
            <family val="1"/>
            <scheme val="major"/>
          </rPr>
          <t>EL RESULTADO DEL SALARIO PROPORCIONAL EN UMA'S NOS INDICARÁ EL % DE LA CUENTÍA BÁSICA, LOCALIZANDOLO EN LA "TABLA DE PORCENTAJES DE LA LEY DE 1973" QUE VA POR RANGOS:</t>
        </r>
        <r>
          <rPr>
            <b/>
            <sz val="8.5"/>
            <color indexed="81"/>
            <rFont val="Cambria"/>
            <family val="1"/>
            <scheme val="major"/>
          </rPr>
          <t xml:space="preserve"> DE ENTRE CIERTA UNIDAD DE UMA'S HASTA OTRA UNIDAD, COMO LÍMITES FIJOS.</t>
        </r>
      </text>
    </comment>
    <comment ref="B13" authorId="0" shapeId="0" xr:uid="{09031912-0DE1-4ADE-884D-E38339EB12F8}">
      <text>
        <r>
          <rPr>
            <b/>
            <sz val="8.5"/>
            <color indexed="81"/>
            <rFont val="Cambria"/>
            <family val="1"/>
            <scheme val="major"/>
          </rPr>
          <t>CUANTÍA BÁSICA POR DÍA:</t>
        </r>
        <r>
          <rPr>
            <sz val="8.5"/>
            <color indexed="81"/>
            <rFont val="Cambria"/>
            <family val="1"/>
            <scheme val="major"/>
          </rPr>
          <t xml:space="preserve"> ES EL RESULTADO DE MULTIPLICAR; EL S.D.P DE LAS ÚLTIMAS 250 SEMANAS * % CORRESPONDIENTE EN COLUMNA DE CUANTÍA BASICA DE LA TABLA DE LA LEY 1973
    </t>
        </r>
        <r>
          <rPr>
            <b/>
            <sz val="8.5"/>
            <color indexed="81"/>
            <rFont val="Cambria"/>
            <family val="1"/>
            <scheme val="major"/>
          </rPr>
          <t>**Para anualizar el resultado se debe multiplicar por 365**</t>
        </r>
        <r>
          <rPr>
            <sz val="8.5"/>
            <color indexed="81"/>
            <rFont val="Cambria"/>
            <family val="1"/>
            <scheme val="major"/>
          </rPr>
          <t xml:space="preserve">
</t>
        </r>
        <r>
          <rPr>
            <u/>
            <sz val="8.5"/>
            <color indexed="81"/>
            <rFont val="Cambria"/>
            <family val="1"/>
            <scheme val="major"/>
          </rPr>
          <t xml:space="preserve">
 ESTO NOS DARA EL TOTAL DE LA CUANTÍA BÁSICA POR AÑO</t>
        </r>
      </text>
    </comment>
    <comment ref="B20" authorId="0" shapeId="0" xr:uid="{5160D9D9-FF5F-46DE-BE2E-3D89A8A06755}">
      <text>
        <r>
          <rPr>
            <b/>
            <sz val="8.5"/>
            <color indexed="81"/>
            <rFont val="Cambria"/>
            <family val="1"/>
            <scheme val="major"/>
          </rPr>
          <t>PORCENTAJE DE INCREMENTOS A LA CUANTÍA BÁSICA:</t>
        </r>
        <r>
          <rPr>
            <sz val="8.5"/>
            <color indexed="81"/>
            <rFont val="Cambria"/>
            <family val="1"/>
            <scheme val="major"/>
          </rPr>
          <t xml:space="preserve">
DENTRO DE LA TABLA DE PORCENTAJES DE LA LEY DE 1973, HAY UNA COLUMNA PARA INCREMENTOS ANUALES. DEPENDIENDO DEL RESULTADO DEL SALARIO PROPORCIONAL EN UMAS</t>
        </r>
        <r>
          <rPr>
            <b/>
            <sz val="8.5"/>
            <color indexed="81"/>
            <rFont val="Cambria"/>
            <family val="1"/>
            <scheme val="major"/>
          </rPr>
          <t>, SE LE ASIGNARA EN CONJUNTO EL VALOR INDICADO (%) PARA ESTOS INCREMENTOS</t>
        </r>
      </text>
    </comment>
    <comment ref="B21" authorId="0" shapeId="0" xr:uid="{B3D18E64-90C9-43B9-B90C-74214CF486DF}">
      <text>
        <r>
          <rPr>
            <b/>
            <sz val="8.5"/>
            <color indexed="81"/>
            <rFont val="Cambria"/>
            <family val="1"/>
            <scheme val="major"/>
          </rPr>
          <t>INCREMENTOS DIARIOS:</t>
        </r>
        <r>
          <rPr>
            <sz val="8.5"/>
            <color indexed="81"/>
            <rFont val="Cambria"/>
            <family val="1"/>
            <scheme val="major"/>
          </rPr>
          <t xml:space="preserve"> RESULTADO DE MULTIPLICAR; EL S.D.P DE LAS ÚLTIMAS 250 SEMANAS POR EL % DE INCREMENTOS A LA CUANTÍA BÁSICA
</t>
        </r>
        <r>
          <rPr>
            <b/>
            <sz val="8.5"/>
            <color indexed="81"/>
            <rFont val="Cambria"/>
            <family val="1"/>
            <scheme val="major"/>
          </rPr>
          <t xml:space="preserve">
     **El resultado se debe anualizar multiplicandolo por 365**</t>
        </r>
        <r>
          <rPr>
            <sz val="8.5"/>
            <color indexed="81"/>
            <rFont val="Cambria"/>
            <family val="1"/>
            <scheme val="major"/>
          </rPr>
          <t xml:space="preserve">
</t>
        </r>
      </text>
    </comment>
    <comment ref="B24" authorId="0" shapeId="0" xr:uid="{5C6F799C-9B1A-4A08-8CC1-C4D4A4FB0825}">
      <text>
        <r>
          <rPr>
            <b/>
            <sz val="8.5"/>
            <color indexed="81"/>
            <rFont val="Cambria"/>
            <family val="1"/>
            <scheme val="major"/>
          </rPr>
          <t xml:space="preserve">TOTAL DE AÑOS DESPUES DE LAS PRIMERAS 500 SEMANAS: </t>
        </r>
        <r>
          <rPr>
            <sz val="8.5"/>
            <color indexed="81"/>
            <rFont val="Cambria"/>
            <family val="1"/>
            <scheme val="major"/>
          </rPr>
          <t xml:space="preserve">LA LEY DE 1973 NOS INDICA QUE "SE DEBE DESCONTAR LAS PRIMERAS 500 SEMANAS DE COTIZACIÓN AL NÚMERO TOTAL DE SEMANAS COTIZADAS"
</t>
        </r>
        <r>
          <rPr>
            <b/>
            <sz val="8.5"/>
            <color indexed="81"/>
            <rFont val="Cambria"/>
            <family val="1"/>
            <scheme val="major"/>
          </rPr>
          <t>LAS SEMANAS RESULTANTES SE DEBEN ANUALIZAR Y MULTIPLICAR AL RESULTADO DEL  INCREMENTO ANUAL  ANTERIOR.</t>
        </r>
        <r>
          <rPr>
            <sz val="8.5"/>
            <color indexed="81"/>
            <rFont val="Cambria"/>
            <family val="1"/>
            <scheme val="major"/>
          </rPr>
          <t xml:space="preserve">
</t>
        </r>
        <r>
          <rPr>
            <u/>
            <sz val="8.5"/>
            <color indexed="81"/>
            <rFont val="Cambria"/>
            <family val="1"/>
            <scheme val="major"/>
          </rPr>
          <t>ESTO NOS DARA EL TOTAL DE INCREMENTOS ANUALES A LA CUANTÍA BÁSICA</t>
        </r>
      </text>
    </comment>
    <comment ref="B25" authorId="0" shapeId="0" xr:uid="{B0B8D25E-CB9D-4FD7-8192-79AA4C7A044F}">
      <text>
        <r>
          <rPr>
            <b/>
            <sz val="8.5"/>
            <color indexed="81"/>
            <rFont val="Cambria"/>
            <family val="1"/>
            <scheme val="major"/>
          </rPr>
          <t xml:space="preserve">ARTÍCULO 167 LSS: </t>
        </r>
        <r>
          <rPr>
            <sz val="8.5"/>
            <color indexed="81"/>
            <rFont val="Cambria"/>
            <family val="1"/>
            <scheme val="major"/>
          </rPr>
          <t xml:space="preserve">LOS INCREMENTES A LA CUANTÍA BÁSICA, TRATÁNDOSE DE FRACCIONES DE AÑO, SE
CALCULARÁN EN LA SIGUIENTE FORMA:
</t>
        </r>
        <r>
          <rPr>
            <b/>
            <sz val="8.5"/>
            <color indexed="81"/>
            <rFont val="Cambria"/>
            <family val="1"/>
            <scheme val="major"/>
          </rPr>
          <t xml:space="preserve">
A) CON TRECE A VEINTISÉIS SEMANAS RECONOCIDAS, SE TIENE DERECHO AL CINCUENTA POR CIENTO DEL INCREMENTO ANUAL.
B) CON MÁS DE VEINTISÉIS SEMANAS RECONOCIDAS, SE TIENE DERECHO AL CIEN POR CIENTO DEL INCREMENTO ANUAL.</t>
        </r>
        <r>
          <rPr>
            <sz val="8.5"/>
            <color indexed="81"/>
            <rFont val="Cambria"/>
            <family val="1"/>
            <scheme val="major"/>
          </rPr>
          <t xml:space="preserve">
</t>
        </r>
      </text>
    </comment>
    <comment ref="C30" authorId="0" shapeId="0" xr:uid="{23D3420F-DFD9-4DD7-9BBB-0E608D26965D}">
      <text>
        <r>
          <rPr>
            <b/>
            <sz val="8.5"/>
            <color indexed="81"/>
            <rFont val="Cambria"/>
            <family val="1"/>
            <scheme val="major"/>
          </rPr>
          <t>CUANTÍA TOTAL DE LA PENSIÓN:</t>
        </r>
        <r>
          <rPr>
            <sz val="8.5"/>
            <color indexed="81"/>
            <rFont val="Cambria"/>
            <family val="1"/>
            <scheme val="major"/>
          </rPr>
          <t xml:space="preserve">
RESULTADO DE SUMAR; </t>
        </r>
        <r>
          <rPr>
            <u/>
            <sz val="8.5"/>
            <color indexed="81"/>
            <rFont val="Cambria"/>
            <family val="1"/>
            <scheme val="major"/>
          </rPr>
          <t>TOTAL DE LA CUANTÍA BÁSICA ANUAL + TOTAL DE INCREMENTOS ANUALES A LA CUANTÍA BÁSICA</t>
        </r>
      </text>
    </comment>
    <comment ref="B33" authorId="0" shapeId="0" xr:uid="{428493F8-7736-4C4F-831E-3F65268648F5}">
      <text>
        <r>
          <rPr>
            <b/>
            <sz val="8.5"/>
            <color indexed="81"/>
            <rFont val="Cambria"/>
            <family val="1"/>
            <scheme val="major"/>
          </rPr>
          <t>LAS ASIGNACIONES:</t>
        </r>
        <r>
          <rPr>
            <sz val="8.5"/>
            <color indexed="81"/>
            <rFont val="Cambria"/>
            <family val="1"/>
            <scheme val="major"/>
          </rPr>
          <t xml:space="preserve"> HAY BONIFICACIONES QUE SE DEBEN SUMAR DEPENDIENDO DEL CONTEXTO DE LA VIDA ACTUAL DEL CLIENTE. LA LEY DE 1973 NOS INDICA QUE:
</t>
        </r>
        <r>
          <rPr>
            <b/>
            <sz val="8.5"/>
            <color indexed="81"/>
            <rFont val="Cambria"/>
            <family val="1"/>
            <scheme val="major"/>
          </rPr>
          <t xml:space="preserve">SI CUENTA CON ESPOSA O CONCUBINA SE LE HACE UNA BONIFICACIÓN DEL +15% AL MONTO DE SU PENSIÓN.
EN CASO DE </t>
        </r>
        <r>
          <rPr>
            <b/>
            <sz val="8.5"/>
            <color indexed="10"/>
            <rFont val="Cambria"/>
            <family val="1"/>
            <scheme val="major"/>
          </rPr>
          <t>NO</t>
        </r>
        <r>
          <rPr>
            <b/>
            <sz val="8.5"/>
            <color indexed="81"/>
            <rFont val="Cambria"/>
            <family val="1"/>
            <scheme val="major"/>
          </rPr>
          <t xml:space="preserve"> </t>
        </r>
        <r>
          <rPr>
            <b/>
            <sz val="8.5"/>
            <color indexed="10"/>
            <rFont val="Cambria"/>
            <family val="1"/>
            <scheme val="major"/>
          </rPr>
          <t>TENER ESPOSA/CONCUBINO</t>
        </r>
        <r>
          <rPr>
            <b/>
            <sz val="8.5"/>
            <color indexed="81"/>
            <rFont val="Cambria"/>
            <family val="1"/>
            <scheme val="major"/>
          </rPr>
          <t>,</t>
        </r>
        <r>
          <rPr>
            <b/>
            <sz val="8.5"/>
            <color indexed="10"/>
            <rFont val="Cambria"/>
            <family val="1"/>
            <scheme val="major"/>
          </rPr>
          <t xml:space="preserve"> NI HIJOS, NI PADRES QUE DEPENDAN ECONÓMICAMENTE</t>
        </r>
        <r>
          <rPr>
            <b/>
            <sz val="8.5"/>
            <color indexed="81"/>
            <rFont val="Cambria"/>
            <family val="1"/>
            <scheme val="major"/>
          </rPr>
          <t xml:space="preserve"> DE USTED
SE LE HACE UNA BONIFICACIÓN DEL +15% POR AYUDA ASISTENCIAL</t>
        </r>
      </text>
    </comment>
    <comment ref="B39" authorId="0" shapeId="0" xr:uid="{4F2A1933-731A-49F3-B232-A0182AD38694}">
      <text>
        <r>
          <rPr>
            <b/>
            <sz val="8.5"/>
            <color indexed="81"/>
            <rFont val="Cambria"/>
            <family val="1"/>
            <scheme val="major"/>
          </rPr>
          <t xml:space="preserve">ASIGNACIÓN POR HIJOS: </t>
        </r>
        <r>
          <rPr>
            <sz val="8.5"/>
            <color indexed="81"/>
            <rFont val="Cambria"/>
            <family val="1"/>
            <scheme val="major"/>
          </rPr>
          <t xml:space="preserve"> SI ACTUALMENTE CUENTA CON HIJOS MENORES DE 16 AÑOS O BIEN, ESTUDIANTES HASTA LOS 25 AÑOS. 
</t>
        </r>
        <r>
          <rPr>
            <b/>
            <sz val="8.5"/>
            <color indexed="81"/>
            <rFont val="Cambria"/>
            <family val="1"/>
            <scheme val="major"/>
          </rPr>
          <t>SE LE HACE UNA BONIFICACÓN DEL: +10% POR CADA HIJOS QUE SE ENCUENTRE DENTRO DE ESTA ASIGNACIÓN</t>
        </r>
      </text>
    </comment>
    <comment ref="B45" authorId="0" shapeId="0" xr:uid="{985BFF1F-43D5-4D6A-91D0-8369CDD7D1D5}">
      <text>
        <r>
          <rPr>
            <b/>
            <sz val="8.5"/>
            <color indexed="81"/>
            <rFont val="Cambria"/>
            <family val="1"/>
            <scheme val="major"/>
          </rPr>
          <t xml:space="preserve">ASIGANCIÓN PARA PADRES: </t>
        </r>
        <r>
          <rPr>
            <sz val="8.5"/>
            <color indexed="81"/>
            <rFont val="Cambria"/>
            <family val="1"/>
            <scheme val="major"/>
          </rPr>
          <t xml:space="preserve">SI CUENTA CON SUS PADRES Y DEPENDEN ECONÓCMICAMENTE DE USTED, </t>
        </r>
        <r>
          <rPr>
            <b/>
            <sz val="8.5"/>
            <color indexed="81"/>
            <rFont val="Cambria"/>
            <family val="1"/>
            <scheme val="major"/>
          </rPr>
          <t xml:space="preserve">SE LE HACE UNA BONIFICACIÓN DEL +10% POR CADA PADRE DEPENDIENTE.
</t>
        </r>
        <r>
          <rPr>
            <sz val="8.5"/>
            <color indexed="81"/>
            <rFont val="Cambria"/>
            <family val="1"/>
            <scheme val="major"/>
          </rPr>
          <t xml:space="preserve">
</t>
        </r>
        <r>
          <rPr>
            <b/>
            <u/>
            <sz val="8.5"/>
            <color indexed="10"/>
            <rFont val="Cambria"/>
            <family val="1"/>
            <scheme val="major"/>
          </rPr>
          <t>SIEMPRE Y CUANDO NO CUENTE CON ESPOSA O HIJOS</t>
        </r>
        <r>
          <rPr>
            <u/>
            <sz val="8.5"/>
            <color indexed="81"/>
            <rFont val="Cambria"/>
            <family val="1"/>
            <scheme val="major"/>
          </rPr>
          <t xml:space="preserve">
</t>
        </r>
      </text>
    </comment>
    <comment ref="B53" authorId="0" shapeId="0" xr:uid="{D92C82CA-4463-4D52-B1C6-368766435979}">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56" authorId="0" shapeId="0" xr:uid="{332588DB-C297-46BF-AB35-C59AE01B9E1D}">
      <text>
        <r>
          <rPr>
            <b/>
            <sz val="8.5"/>
            <color indexed="81"/>
            <rFont val="Cambria"/>
            <family val="1"/>
            <scheme val="major"/>
          </rPr>
          <t>AYUDA ASISTENCIAL:</t>
        </r>
        <r>
          <rPr>
            <sz val="8.5"/>
            <color indexed="10"/>
            <rFont val="Cambria"/>
            <family val="1"/>
            <scheme val="major"/>
          </rPr>
          <t xml:space="preserve"> SIEMPRE QUE NO CUENTE CON ESPOSA/CONCUBINO; NI HIJOS, NI ASCENDIENTES QUE DEPENDIERAN ECONÓMICAMENTE DE USTED, </t>
        </r>
        <r>
          <rPr>
            <b/>
            <sz val="8.5"/>
            <color indexed="81"/>
            <rFont val="Cambria"/>
            <family val="1"/>
            <scheme val="major"/>
          </rPr>
          <t>SE LE HACE UNA BONIFICACIÓN DEL +15%</t>
        </r>
      </text>
    </comment>
    <comment ref="B63" authorId="0" shapeId="0" xr:uid="{C80B4F7B-FCE2-4335-9041-F353078219E6}">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66" authorId="0" shapeId="0" xr:uid="{692FFB98-432D-4FB1-94C5-7351B747D3C3}">
      <text>
        <r>
          <rPr>
            <b/>
            <sz val="8.5"/>
            <color indexed="81"/>
            <rFont val="Cambria"/>
            <family val="1"/>
            <scheme val="major"/>
          </rPr>
          <t>ASIGNACIÓN DECRETO PRESIDENCIAL</t>
        </r>
        <r>
          <rPr>
            <sz val="8.5"/>
            <color indexed="81"/>
            <rFont val="Cambria"/>
            <family val="1"/>
            <scheme val="major"/>
          </rPr>
          <t xml:space="preserve">: EN EL AÑO 2004 SE HICERON REFORMAS EN MATERIA DE LAS PENSIONES EN MÉXICO, </t>
        </r>
        <r>
          <rPr>
            <b/>
            <sz val="8.5"/>
            <color indexed="81"/>
            <rFont val="Cambria"/>
            <family val="1"/>
            <scheme val="major"/>
          </rPr>
          <t>EL "FACTOR FOX" ES LA ÚLTIMA ASIGANCIÓN QUE SE BONIFICA AL MONTO DE LA PENSIÓN +11%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C26" authorId="0" shapeId="0" xr:uid="{A11BE42E-6A05-45FF-BB9C-7242496F45B9}">
      <text>
        <r>
          <rPr>
            <b/>
            <sz val="9"/>
            <color indexed="81"/>
            <rFont val="Tahoma"/>
            <family val="2"/>
          </rPr>
          <t xml:space="preserve">IMPORTANTE: </t>
        </r>
        <r>
          <rPr>
            <sz val="9"/>
            <color indexed="81"/>
            <rFont val="Tahoma"/>
            <family val="2"/>
          </rPr>
          <t xml:space="preserve">SI EL MONTO DE LA PENSIÓN MENSUAL, SUPERA </t>
        </r>
        <r>
          <rPr>
            <u/>
            <sz val="9"/>
            <color indexed="81"/>
            <rFont val="Tahoma"/>
            <family val="2"/>
          </rPr>
          <t>EL LÍMITE FIJO DE 25 UMAS</t>
        </r>
        <r>
          <rPr>
            <sz val="9"/>
            <color indexed="81"/>
            <rFont val="Tahoma"/>
            <family val="2"/>
          </rPr>
          <t xml:space="preserve"> ESTABLECIDO EN LA LEY DEL SEGURO SOCIAL, </t>
        </r>
        <r>
          <rPr>
            <b/>
            <sz val="9"/>
            <color indexed="81"/>
            <rFont val="Tahoma"/>
            <family val="2"/>
          </rPr>
          <t xml:space="preserve">SE LE PODRA DAR COMO MÁXIMO EL EQUIVALENTE A:
</t>
        </r>
        <r>
          <rPr>
            <b/>
            <sz val="9"/>
            <color indexed="10"/>
            <rFont val="Tahoma"/>
            <family val="2"/>
          </rPr>
          <t>El valor de la UMA VIGENTE DEL AÑO EN EL QUE INICIA SU TRÁMITE DE PENSIÓN * 25* 30 DIAS</t>
        </r>
        <r>
          <rPr>
            <b/>
            <sz val="9"/>
            <color indexed="81"/>
            <rFont val="Tahoma"/>
            <family val="2"/>
          </rPr>
          <t xml:space="preserve">
PARA EL AÑO 2024 EL MONTO MÁXIMO DE LA PENSIÓN COORESPONDIENTE A 30 DÍAS ES DE: $ 81, 427.50 MXN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<sst xmlns="http://schemas.openxmlformats.org/spreadsheetml/2006/main" count="736" uniqueCount="470">
  <si>
    <t>NOMBRE</t>
  </si>
  <si>
    <t>INCREMENTO ANUAL</t>
  </si>
  <si>
    <t>PORCENTAJE</t>
  </si>
  <si>
    <t>HIJOS MENORES DE 16 AÑOS O ESTUDIANTES HASTA LOS 25 AÑOS</t>
  </si>
  <si>
    <t>TOTAL DE INCREMENTOS ANUALES A LA CUANTÍA BÁSICA</t>
  </si>
  <si>
    <t>CUANTÍA TOTAL DE LA PENSIÓN ANUAL</t>
  </si>
  <si>
    <t>TOTAL ASIGNACIÓN FAMILIAR ESPOSA (O)</t>
  </si>
  <si>
    <t xml:space="preserve"> * NÚMERO DE HIJOS </t>
  </si>
  <si>
    <t>TOTAL DE ASIGNACIÓN PADRES</t>
  </si>
  <si>
    <t>TOTAL CUANTÍA BÁSICA ANUAL</t>
  </si>
  <si>
    <t>¿ESPOSA (O) O CONCUMBINO (A)?</t>
  </si>
  <si>
    <t>2. FACTORES PARA DETERMINAR LA PENSIÓN</t>
  </si>
  <si>
    <t>2.1 ELEMENTOS CLAVE</t>
  </si>
  <si>
    <t xml:space="preserve">2.3 CUANTÍA DE INCREMENTOS ANUALES </t>
  </si>
  <si>
    <t>PADRES QUE DEPENDAN ECONÓMICAMENTE DE USTED</t>
  </si>
  <si>
    <t>TOTAL DE ASIGNACIÓN AYUDA ASISTENCIAL</t>
  </si>
  <si>
    <t>EDAD DE RETIRO EN AÑOS ENTEROS (PARA EL IMSS)</t>
  </si>
  <si>
    <t>(3) Total de semanas utilizadas para el cálculo de pensión: Semanas cotizadas actuales + Semanas por cotizar.</t>
  </si>
  <si>
    <t>Elaborado por: tuplanderetiro.mx</t>
  </si>
  <si>
    <t>Tabla de cuantia básica e incrementos salariales</t>
  </si>
  <si>
    <t>Tabla de edad de retiro</t>
  </si>
  <si>
    <t>Edades permitidas de acuerdo a edad</t>
  </si>
  <si>
    <t>Hijos menores a 25</t>
  </si>
  <si>
    <t>Padres</t>
  </si>
  <si>
    <t>(1) Semanas no cotizadas en periodos de desempleo y que se podrian recuperar al pagarlas al IMSS de manera retroactiva (es opcional hacerlo).</t>
  </si>
  <si>
    <t>(2) Semanas que, considerando la fecha de cálculo del proyecto y la fecha de retiro, se pueden calcular. Multiplicando las 52 semanas de un año natural por el número de años restantes hasta la fecha de retiro.</t>
  </si>
  <si>
    <t xml:space="preserve">            CALCULADORA DE  NUEVO SALARIO PROMEDIO DIARIO DE LAS ÚLTIMAS 250 SEMANAS COTIZADAS CON MODALIDAD 40</t>
  </si>
  <si>
    <t>* (DD/MM/AAAA) indica que la fecha debe introducirse en formato DIA/MES/AÑO</t>
  </si>
  <si>
    <t>SALARIO PROPORCIONAL EN UMAS (3)</t>
  </si>
  <si>
    <t xml:space="preserve">(3) Resultado de dividir el salario base de cotización entre la UMA diaria. </t>
  </si>
  <si>
    <t>SALARIO DIARIO PROMEDIO ÚLTIMAS 250 SEMANAS COTIZADAS</t>
  </si>
  <si>
    <r>
      <t xml:space="preserve">PORCENTAJE DE CUANTÍA BÁSICA </t>
    </r>
    <r>
      <rPr>
        <sz val="7"/>
        <color theme="1"/>
        <rFont val="Arial Rounded MT Bold"/>
        <family val="2"/>
      </rPr>
      <t>(4)</t>
    </r>
  </si>
  <si>
    <r>
      <t xml:space="preserve">CUANTÍA BÁSICA POR DÍA </t>
    </r>
    <r>
      <rPr>
        <sz val="7"/>
        <color theme="1"/>
        <rFont val="Arial Rounded MT Bold"/>
        <family val="2"/>
      </rPr>
      <t>(5)</t>
    </r>
  </si>
  <si>
    <t>(4) El porcentaje de cuantía básica se asocia a la "Tabla de porcentajes asignados a la ley del 1973 de pensiones IMSS". Se asigna, localizando el resultado de "Salario proporcional en UMAS" en los rangos dentro de la tabla *Ver anexo*</t>
  </si>
  <si>
    <t>(5) La cuantía básica por día se calcula multiplicando el % decuantía básica por el Salario promedio de las últimas 250 semanas cotizadas. *El resultado se anualiza multiplicandolo por los 365 días del año*</t>
  </si>
  <si>
    <t>2.2 CÁLCULO DE LA CUANTÍA BÁSICA DE PENSIÓN*</t>
  </si>
  <si>
    <t>*La cuantía básica de pensión es un factor dentro de la ley de pensión de 1973 del IMSS que se utiliza para determinar el monto de las  pensiones.</t>
  </si>
  <si>
    <t>DÍAS EN EL AÑO</t>
  </si>
  <si>
    <t>NÚMERO DE INCREMENTOS ANUALES (REDONDEO ART. 167 LSS)</t>
  </si>
  <si>
    <r>
      <t xml:space="preserve">PORCENTAJE DE INCREMENTO A LA CUANTÍA BÁSICA </t>
    </r>
    <r>
      <rPr>
        <sz val="7"/>
        <color theme="1"/>
        <rFont val="Arial Rounded MT Bold"/>
        <family val="2"/>
      </rPr>
      <t>(6)</t>
    </r>
  </si>
  <si>
    <r>
      <t xml:space="preserve">INCREMENTOS DIARIOS </t>
    </r>
    <r>
      <rPr>
        <sz val="7"/>
        <color theme="1"/>
        <rFont val="Arial Rounded MT Bold"/>
        <family val="2"/>
      </rPr>
      <t>(7)</t>
    </r>
  </si>
  <si>
    <r>
      <t xml:space="preserve">NÚMERO DE INCREMENTOS ANUALES </t>
    </r>
    <r>
      <rPr>
        <sz val="7"/>
        <color theme="1"/>
        <rFont val="Arial Rounded MT Bold"/>
        <family val="2"/>
      </rPr>
      <t>(8)</t>
    </r>
  </si>
  <si>
    <t>(8) El número de incrementos anuales son el resultado de restarle 500 semanas cotizadas al número de semanas cotizadas totales, las semanas resultantes al afectuar esta resta se convierten a años y se multiplican por el resultado de "Incrementos anuales".</t>
  </si>
  <si>
    <t>(6) El porcentaje de incrementos a la cuantía básica se asocia a la "Tabla de porcentajes asignados a la ley del 1973 de pensiones IMSS" y se asigna, localizando el resultado de "Salario proporcional en UMAS" en los rangos dentro de la tabla *Ver Tabla Porcentajes*.</t>
  </si>
  <si>
    <t>(7) Los incrementos diarios se calculan multiplicando el % de incrementos por el salario promedio de las últimas 250 semanas cotizadas. *El resultado se anualiza multiplicandolo por los 365 días del año*</t>
  </si>
  <si>
    <r>
      <t xml:space="preserve">(9) Cuantía total de la pensión es la suma de: Total cuantía báscia </t>
    </r>
    <r>
      <rPr>
        <b/>
        <sz val="8.5"/>
        <rFont val="Helvetica Neue"/>
      </rPr>
      <t xml:space="preserve">+ </t>
    </r>
    <r>
      <rPr>
        <sz val="8.5"/>
        <rFont val="Helvetica Neue"/>
      </rPr>
      <t>Total de incrementos anuales a la cuantía básica.</t>
    </r>
  </si>
  <si>
    <t xml:space="preserve">     FACTORES Y ASIGNACIONES UTILIZADAS PARA DETERMINAR LA PENSIÓN</t>
  </si>
  <si>
    <t>*Dentro de la ley de 1973 de pensiones del IMSS hay asignaciones que se agregan a la suma de su pensión y dependiendo de la situación de la persona a pensionar se harán las bonificaciones aplicables.</t>
  </si>
  <si>
    <t>TOTAL ASIGNACIÓN FAMILIAR POR HIJOS</t>
  </si>
  <si>
    <t>NÚMERO DE PADRES</t>
  </si>
  <si>
    <r>
      <t xml:space="preserve">CUANTÍA TOTAL DE LA PENSIÓN </t>
    </r>
    <r>
      <rPr>
        <b/>
        <sz val="8"/>
        <color theme="1"/>
        <rFont val="Arial Rounded MT Bold"/>
        <family val="2"/>
      </rPr>
      <t>(9)</t>
    </r>
  </si>
  <si>
    <t>(2)  La cuantía total de pensión más las asignaciones: Es el resultado de monto de la pensión más cada una de las asignaciones establecidas según sea el contexto del pensionado. En este caso se le agregó la bonificación del +15%, al monto de su pensión calculada.</t>
  </si>
  <si>
    <t>4. ASIGANCIÓN POR DECRETO PRESIDENCIAL (2004)</t>
  </si>
  <si>
    <t>+ 11% DE INCREMENTO A LA PENSIÓN</t>
  </si>
  <si>
    <r>
      <t>+ 15% DE ASIGNACIÓN</t>
    </r>
    <r>
      <rPr>
        <sz val="7"/>
        <color theme="1"/>
        <rFont val="Arial Rounded MT Bold"/>
        <family val="2"/>
      </rPr>
      <t xml:space="preserve"> </t>
    </r>
  </si>
  <si>
    <t>TOTAL DE ASIGNACIÓN POR DECRETO PRESIDENCIAL</t>
  </si>
  <si>
    <t>CUANTÍA TOTAL DE LA PENSIÓN + ASIGNACIONES ANUAL</t>
  </si>
  <si>
    <r>
      <t>CUANTÍA TOTAL DE LA PENSIÓN + ASIGNACIONES ANUAL</t>
    </r>
    <r>
      <rPr>
        <b/>
        <sz val="8"/>
        <color theme="2" tint="-0.89999084444715716"/>
        <rFont val="Arial Rounded MT Bold"/>
        <family val="2"/>
      </rPr>
      <t xml:space="preserve">  (2)</t>
    </r>
  </si>
  <si>
    <t>(3) La asiganción por decreto presidencial establecida por el presidente "Vicente Fox" se le bonifica sin importar el contexto del pensionado. Este decreto asigna una bonificación del +11% al monto de la pensión.</t>
  </si>
  <si>
    <t>TOTAL DE PENSIÓN POR VEJEZ (ANUAL)</t>
  </si>
  <si>
    <t>Edad</t>
  </si>
  <si>
    <t>PROYECTO DE PLAN DE RETIRO</t>
  </si>
  <si>
    <t>Tipo de Pensión</t>
  </si>
  <si>
    <t>Por vejez</t>
  </si>
  <si>
    <t>Por cesantía en edad avanzada</t>
  </si>
  <si>
    <t>Nota: El 100% de la pensión se otorga cuando se hace el tramite hasta los 65 años bajo el nombre de "Pensión por vejez"; si te retiras antes se conoce como pensión por "Cesantía en edad avanzada".</t>
  </si>
  <si>
    <t>5. Calculadora de Pensión</t>
  </si>
  <si>
    <t>PORCENTAJE ASIGNADO POR EDAD DEL TRABAJADOR</t>
  </si>
  <si>
    <t>(8) Cuándo el resultado de la pensión calculada  es menor o igual a la pensión mínima garantizada, se asigna la pensión mínima garantizada, independientemente de la edad en la qeu se decida inciar el trámite de pensión.</t>
  </si>
  <si>
    <t>IMPORTE DE PENSIÓN ANUAL</t>
  </si>
  <si>
    <t>IMPORTE DE PENSIÓN POR MES DE 30 DÍAS</t>
  </si>
  <si>
    <t>Monto de pensión calculado con base a lo estipulado en la Ley de 1973 de Seguro Social.</t>
  </si>
  <si>
    <r>
      <t xml:space="preserve">¿APLICA LA PENSIÓN MÍNIMA GARANTIZADA? </t>
    </r>
    <r>
      <rPr>
        <sz val="8"/>
        <rFont val="Arial Rounded MT Bold"/>
        <family val="2"/>
      </rPr>
      <t>(1)</t>
    </r>
  </si>
  <si>
    <t>TOTAL DE PENSIÓN ANUAL POR VEJEZ (100%)</t>
  </si>
  <si>
    <t>Tabla de porcentaje de cuantía que corresponde respecto a la cuantía por vejez</t>
  </si>
  <si>
    <t>1. INFORMACIÓN GENERAL DEL (LA) PENSIONADO (A)</t>
  </si>
  <si>
    <t>MEJORA DE PENSIÓN</t>
  </si>
  <si>
    <t>EDAD DE RETIRO</t>
  </si>
  <si>
    <t xml:space="preserve">PENSION MENSUAL POR MES DE 30 DIAS </t>
  </si>
  <si>
    <t>SIN MODALIDAD 40</t>
  </si>
  <si>
    <t>CON MODALIDAD 40</t>
  </si>
  <si>
    <t>MONTO DE MEJORA DE PENSIÓN</t>
  </si>
  <si>
    <t>PERIODOS DE RECUPERACIÓN DE LA INVERSIÓN (MESES)</t>
  </si>
  <si>
    <t>INGRESAR DATOS</t>
  </si>
  <si>
    <t>Planeas seguir trabajando</t>
  </si>
  <si>
    <t>SI</t>
  </si>
  <si>
    <t>NO</t>
  </si>
  <si>
    <t>Edad modalidad 40</t>
  </si>
  <si>
    <t>EDAD DE RETIRO (EDAD DE INICIO DE MOD 40 + AÑOS EN MOD 40)</t>
  </si>
  <si>
    <t>SEMANAS COTIZADAS ANTES DE MODALIDAD 40</t>
  </si>
  <si>
    <t>SEMANAS COTIZADAS EN MODALIDAD 40</t>
  </si>
  <si>
    <t>PROYECCIÓN DEL VALOR DE LA UMA DIAIRA</t>
  </si>
  <si>
    <t>Proyección UMA</t>
  </si>
  <si>
    <t>Año</t>
  </si>
  <si>
    <t>PROYECCIÓN DEL SALARIO MÍNIMO DIARIO</t>
  </si>
  <si>
    <t>AÑO EN EL QUE PLANEAS PENSIONARTE</t>
  </si>
  <si>
    <t>Proyección Salario Mínimo</t>
  </si>
  <si>
    <t>PROYECCIÓN DE LOS ELEMENTOS CLAVE</t>
  </si>
  <si>
    <t>PROYECCIÓN DE LOS ELEMENTOS CLAVE DE 2024 A 2040</t>
  </si>
  <si>
    <r>
      <t xml:space="preserve">VALOR DE UMA DIARIA </t>
    </r>
    <r>
      <rPr>
        <sz val="7"/>
        <color theme="1"/>
        <rFont val="Arial Rounded MT Bold"/>
        <family val="2"/>
      </rPr>
      <t>(1)</t>
    </r>
  </si>
  <si>
    <r>
      <t xml:space="preserve">SALARIO MÍNIMO DIARIO VIGENTE </t>
    </r>
    <r>
      <rPr>
        <sz val="7"/>
        <color theme="1"/>
        <rFont val="Arial Rounded MT Bold"/>
        <family val="2"/>
      </rPr>
      <t>(2)</t>
    </r>
  </si>
  <si>
    <t>+10% DE ASIGNACIÓN POR CADA UNO</t>
  </si>
  <si>
    <t xml:space="preserve">+10% DE ASIGNACIÓN </t>
  </si>
  <si>
    <r>
      <t xml:space="preserve">3.2 ASIGNACIÓN HIJOS MENORES DE EDAD O ESTUDIANTES MENORES DE 25 AÑOS </t>
    </r>
    <r>
      <rPr>
        <sz val="7"/>
        <rFont val="Arial Rounded MT Bold"/>
        <family val="2"/>
      </rPr>
      <t>(1)</t>
    </r>
  </si>
  <si>
    <r>
      <t xml:space="preserve">3.1 ASIGNACIÓN FAMILIAR POR ESPOSO(A) O CONCUBINATO </t>
    </r>
    <r>
      <rPr>
        <sz val="7"/>
        <rFont val="Arial Rounded MT Bold"/>
        <family val="2"/>
      </rPr>
      <t>(1)</t>
    </r>
  </si>
  <si>
    <r>
      <t xml:space="preserve">3.3 ASIGNACIÓN POR PADRES DEPENDIENTES (APLICA SOLO A FALTA DE ESPOSO(A) O HIJOS) </t>
    </r>
    <r>
      <rPr>
        <b/>
        <sz val="7"/>
        <rFont val="Arial Rounded MT Bold"/>
        <family val="2"/>
      </rPr>
      <t>(1)</t>
    </r>
  </si>
  <si>
    <r>
      <t xml:space="preserve">3.4 AYUDA ASISTENCIAL </t>
    </r>
    <r>
      <rPr>
        <sz val="7"/>
        <rFont val="Arial Rounded MT Bold"/>
        <family val="2"/>
      </rPr>
      <t>(1)</t>
    </r>
  </si>
  <si>
    <r>
      <t xml:space="preserve">4.1 ASIGNACIÓN DECRETO PRESIDENCIAL 11% </t>
    </r>
    <r>
      <rPr>
        <sz val="8"/>
        <rFont val="Arial Rounded MT Bold"/>
        <family val="2"/>
      </rPr>
      <t>(3)</t>
    </r>
  </si>
  <si>
    <t>Porcentaje de Pensión       por Vejez</t>
  </si>
  <si>
    <r>
      <t xml:space="preserve">TOTAL DE SEMANAS COTIZADAS PARA EL CÁLCULO DE PENSIÓN </t>
    </r>
    <r>
      <rPr>
        <sz val="8"/>
        <color rgb="FFF3BD48"/>
        <rFont val="Arial Rounded MT Bold"/>
        <family val="2"/>
      </rPr>
      <t>(3)</t>
    </r>
  </si>
  <si>
    <t>TOTAL DE PENSIÓN POR VEJEZ (MES DE 30 DÍAS)</t>
  </si>
  <si>
    <t>3. ASIGNACIONES FAMILIARES DE LA LEY 1973 DEL IMSS*</t>
  </si>
  <si>
    <t>+15% DE ASIGNACIÓN (SI NO HAY BENEFICIARIOS) Ó +10% (SI SOLO HAY 1 PADRE COMO BENEFICIARIO)</t>
  </si>
  <si>
    <t>Salario UMAS</t>
  </si>
  <si>
    <t>FECHA DE INICIO (DD/MM/AAAA)</t>
  </si>
  <si>
    <t>FECHA DE TÉRMINO (DD/MM/AAAA)</t>
  </si>
  <si>
    <t>SEMANAS COTIZADAS</t>
  </si>
  <si>
    <t>RESULTADO</t>
  </si>
  <si>
    <t>VALOR DE LA UMA DIARIA</t>
  </si>
  <si>
    <t>SALARIO DIARIO REGISTRADO EN UMA'S</t>
  </si>
  <si>
    <t>PROYECCIÓN DEL VALOR DE LA UMA DIARIA</t>
  </si>
  <si>
    <t>NUEVO SALARIO PROMEDIO DE 250 SEMANAS</t>
  </si>
  <si>
    <t>ANTERIOR SALARIO PROMEDIO DE 250 SEMANAS</t>
  </si>
  <si>
    <t>NUEVA FECHA CALCULADA PARA EL TRÁMITE DE PENSIÓN (DD/MM/AAAA)*</t>
  </si>
  <si>
    <t>NUEVO SALARIO DIARIO PROMEDIO 250 SEMANAS COTIZADAS</t>
  </si>
  <si>
    <t>(8) Cuándo el resultado de la pensión calculada  es menor o igual a la pensión mínima garantizada, se asigna la pensión mínima garantizada, independientemente de la edad en la que se decida inciar el trámite de pensión.</t>
  </si>
  <si>
    <t>(1) En caso de no contar con esposo(a) o concubinato, ni hijos menores de 16 años o estudiantes hasta los 25 años y si ninguno de los padres depende económicamente de usted, se aplica una asignacion bajo el concepto de "Ayuda asistencial" del +15% al monto de la pensión.</t>
  </si>
  <si>
    <t xml:space="preserve">(1) En caso de no contar con esposo(a) o concubinato, ni hijos menores de 16 años o estudiantes hasta los 25 años y si ninguno de los padres depende económicamente de usted se aplica una asignacion bajo el concepto de "Ayuda asistencial" del +15% al monto de la pensión. Si el único beneficiario fuera un único padre/madre, se asigna un +10% de "Ayuda asistencial" al monto de la pensión. </t>
  </si>
  <si>
    <t>(1) Para el año 2024 la UMA diaria es de: $108.57 pesos.</t>
  </si>
  <si>
    <t>(2) Para el año 2024 el salario mínimo diario es de: $248.93 pesos.</t>
  </si>
  <si>
    <t>(1) En caso de no contar con esposo(a) o concubinato, ni hijos menores de 16 años o estudiantes hasta los 25 años y si ninguno de los padres depende económicamente de usted, se aplica una asignación bajo el concepto de "Ayuda asistencial" del +15% al monto de la pensión.</t>
  </si>
  <si>
    <t>Importante: Si tu cálculo de pensión es para un año diferente a 2024, puedes considera usar el valor proyectado de la UMA diaria y el Salario Mínimo para el año deseado. Considera que la proyección no representa una certeza sobre el valor real que tendrán estos elementos clave. La pensión solo se calcula con el 100% de certeza para el año vigente (2024).</t>
  </si>
  <si>
    <t>Nota: El valor de la UMA se proyecto con un incremento anual de 4.5%, resultado del promedio de inflación anual medido por el INPC desde el 2011 hasta 2024. El valor del salario mínimo diario se poyecto con un incremento anual de 5.70% resultado del promedio del incremento anual real del SM desde 1977. Datos de INEGI y Repositorio UNAM.</t>
  </si>
  <si>
    <t>Importante: si tu proyección de inicio de Modalidad 40 es para un año diferente a 2024, puedes considera usar el valor proyectado de la UMA diaria. Considera que esta es una proyección y no representa una certeza sobre el valor real que tendrá este elemento. La pensión mejorada con Modalidad 40 solo se calcula con el 100% de certeza para el año vigente (2024).</t>
  </si>
  <si>
    <t>Importante: si tu proyección de pensión es para un año diferente a 2024, puedes considera usar el valor proyectado de la UMA diaria y del salario mínimo vigente para el año deseado. Considera que esta es una proyección y no representa una certeza sobre el valor real que tendrán estos elementos clave. La pensión solo se calcula con el 100% de certeza para el año vigente (2024).</t>
  </si>
  <si>
    <t>Nota: El valor de la UMA se proyecto con un incremento anual de 4.5%, resultado del promedio de inflación anual medido por el INPC desde el 2011 hasta 2024. El valor del salario mínimo diario se poyecto con un incremento anual de 5.70% resultado del promedio de incremento anual real del SMV desde 1977. Datos de INEGI y Repositorio UNAM.</t>
  </si>
  <si>
    <t xml:space="preserve">             SALARIO PROMEDIO DIARIO DE LAS ÚLTIMAS 250 SEMANAS COTIZADAS</t>
  </si>
  <si>
    <t>ANÁLISIS DE LA INVERSIÓN</t>
  </si>
  <si>
    <t>TERMÓMETRO DE INVERSIÓN</t>
  </si>
  <si>
    <t>FLUJOS DE PENSIÓN COBRADOS HASTA LOS 75 AÑOS</t>
  </si>
  <si>
    <t>Sin considerar aguinaldos ni actualizaciones por inflación</t>
  </si>
  <si>
    <t>EXCELENTE INVERSIÓN</t>
  </si>
  <si>
    <t>--</t>
  </si>
  <si>
    <t>Sin Modalidad 40</t>
  </si>
  <si>
    <t>Con Modalidad 40</t>
  </si>
  <si>
    <t>Pensión cobrada</t>
  </si>
  <si>
    <t>Edad de pensión</t>
  </si>
  <si>
    <t>Edad proporcional mes</t>
  </si>
  <si>
    <t>Inversión total</t>
  </si>
  <si>
    <t>INVERSIÓN TOTAL EN MODALIDAD 40 - RECUPERACION DE LA AFORE</t>
  </si>
  <si>
    <t>Pensión acumulada</t>
  </si>
  <si>
    <t>Inversión</t>
  </si>
  <si>
    <t>NUESTRO TERMÓMETRO DE INVERSIÓN</t>
  </si>
  <si>
    <t>MONTO APROXIMADO DE RECUPERACIÓN POR "AFORE"</t>
  </si>
  <si>
    <t>}</t>
  </si>
  <si>
    <t>FECHA DE BAJA</t>
  </si>
  <si>
    <t>INMEDIATAMENTE</t>
  </si>
  <si>
    <t>Costo</t>
  </si>
  <si>
    <t>2021-2024</t>
  </si>
  <si>
    <t>2024-adelante</t>
  </si>
  <si>
    <t>COSTO DE LA MODALIDAD 40 - PAGO RETROACTIVO</t>
  </si>
  <si>
    <t>ACTUALIZACIONES</t>
  </si>
  <si>
    <t>RECARGOS</t>
  </si>
  <si>
    <t>AÑOS A PAGAR EN RETROACTIVO</t>
  </si>
  <si>
    <t>Fecha de baja</t>
  </si>
  <si>
    <t>Fecha de término</t>
  </si>
  <si>
    <t>Año Mod 40</t>
  </si>
  <si>
    <t>INVERSIÓN TOTAL</t>
  </si>
  <si>
    <t>PERIODOS DE RECUPERACIÓN DE LA INVERSIÓN</t>
  </si>
  <si>
    <t>AÑO DE INICIO EN MODALIDAD 40</t>
  </si>
  <si>
    <t>CALCULADORA DE PENSIÓN POR                                                                           CESANTÍA EN EDAD AVANZADA Y VEJEZ</t>
  </si>
  <si>
    <t>DATOS DEL PAGO RETROACTIVO</t>
  </si>
  <si>
    <t>MONTO DE                               MEJORA DE PENSIÓN</t>
  </si>
  <si>
    <t>FECHA DE TÉRMINO (PAGO RETROACTIVO)</t>
  </si>
  <si>
    <t>MODALIDAD 40 - PAGO RECURRENTE</t>
  </si>
  <si>
    <t>MODALIDAD 40 - PAGO RETROACTIVO</t>
  </si>
  <si>
    <t>INVERSIÓN TOTAL                                - RECUPERACIÓN AFORE</t>
  </si>
  <si>
    <t>RECUPERACIÓN POR AFORE (APRÓX.)</t>
  </si>
  <si>
    <t>% INCREMENTO EN EL COSTO</t>
  </si>
  <si>
    <t>PENSIÓN                                SIN MODALIDAD 40</t>
  </si>
  <si>
    <t>PENSION MENSUAL</t>
  </si>
  <si>
    <t>Con Modalidad 40 Retroactivo</t>
  </si>
  <si>
    <t>FINANCIAMIENTO - PAGO RETROACTIVO</t>
  </si>
  <si>
    <t>CREDITO</t>
  </si>
  <si>
    <t xml:space="preserve">PLAZO </t>
  </si>
  <si>
    <t>CUOTA</t>
  </si>
  <si>
    <t>TASA FIJA</t>
  </si>
  <si>
    <t>MES</t>
  </si>
  <si>
    <t>CUOTA FIJA</t>
  </si>
  <si>
    <t>INTERESES</t>
  </si>
  <si>
    <t>AMORTIZACION</t>
  </si>
  <si>
    <t>SALDO</t>
  </si>
  <si>
    <t>CAPACIDAD DE CRÉDITO</t>
  </si>
  <si>
    <t>PLAZO EN MESES</t>
  </si>
  <si>
    <t>TASA</t>
  </si>
  <si>
    <t>NUEVO CRÉDITO</t>
  </si>
  <si>
    <t>Plazo</t>
  </si>
  <si>
    <t>Crédito</t>
  </si>
  <si>
    <t>DURACIÓN DEL TRÁMITE      (MESES)</t>
  </si>
  <si>
    <t>BANCO</t>
  </si>
  <si>
    <t>CUENTA PROPIA O SEGUNDO FONDEADOR</t>
  </si>
  <si>
    <t>COSTO DE FINANCIAMIENTO DURANTE EL TRÁMITE</t>
  </si>
  <si>
    <t>MONTO MÁXIMO A PAGAR</t>
  </si>
  <si>
    <t>PLAZO (MESES)</t>
  </si>
  <si>
    <t>MONTO DEL CRÉDITO</t>
  </si>
  <si>
    <t>Con Modalidad 40 Retroactivo Financiada</t>
  </si>
  <si>
    <t>Pension cobrada</t>
  </si>
  <si>
    <t>% DE INCREMENTO EN EL COSTO POR PAGO RETROACTIVO</t>
  </si>
  <si>
    <t>PENSIÓN SIN MODALIDAD 40</t>
  </si>
  <si>
    <t>NO APLICA</t>
  </si>
  <si>
    <t>MODALIDAD 40 - PAGO RETROACTIVO FINANCIADO</t>
  </si>
  <si>
    <t>¿CÓMO VOY A PAGAR EL SEGUNDO FINANCIAMIENTO?</t>
  </si>
  <si>
    <t>RECUPERACIÓN POR AFORE DEL PAGO RETROACTIVO (APRÓX.)</t>
  </si>
  <si>
    <t>DESCUENTO MENSUAL                       A LA PENSIÓN MEJORADA</t>
  </si>
  <si>
    <t>PORCENTAJES DE PARTICIPACIÓN</t>
  </si>
  <si>
    <t>INVERSIÓN REQUERIDA</t>
  </si>
  <si>
    <t>GANANCIA TOTAL GRACIAS AL FINANCIAMIENTO</t>
  </si>
  <si>
    <t>SI NO HACES ALGO</t>
  </si>
  <si>
    <t>CON MODALIDAD 40 FINANCIADA</t>
  </si>
  <si>
    <t>Nota: los montos presentados son una proyección que considera el número de semanas cotizadas que tienes y un estimado del costo de financiamiento. El cálculo exacto puede variar hasta un 10% y se determina cuándo se mandan a validar los datos con el IMSS y con la institución bancaria. La garantía de que obtegas un monto de pensión parecido a este depende de la inmediatez con la que realizas tu trámite. Se sugiere no dejar pasar más de un mes.</t>
  </si>
  <si>
    <t>Nota: el monto del pago retroactivo es una proyección que considera una tasa promedio de inflación anual de 4.50% y un factor de recargos de 1.47% mensual (dato vigente en 2024). El cálculo exacto puede variar hasta un 10% y se determina cuándo se mandan a validar los datos con el IMSS.</t>
  </si>
  <si>
    <t>PENSIÓN                                   SIN MODALIDAD 40</t>
  </si>
  <si>
    <t>FLUJOS DE PENSIÓN COBRADOS HASTA LOS 80 AÑOS</t>
  </si>
  <si>
    <t>INVERSIÓN TOTAL                                       - RECUPERACIÓN AFORE</t>
  </si>
  <si>
    <t>INVERSIÓN TOTAL                                         - RECUPERACIÓN AFORE</t>
  </si>
  <si>
    <t>SELECCIONA EL AÑO CON BASE A LOS SIGUIENTE CRITERIOS:</t>
  </si>
  <si>
    <t>EQUIVALENCIA DEL SALARIO REGISTRADO (MXN)</t>
  </si>
  <si>
    <t>GANANCIA TOTAL GRACIAS A MODALIDAD 40</t>
  </si>
  <si>
    <t>COSTO TOTAL DE LA MODALIDAD 40 RETROACTIVA</t>
  </si>
  <si>
    <t>M40 RETROACTIVA - RECUPERACION POR AFORE</t>
  </si>
  <si>
    <t>GANANCIA TOTAL CON MODALIDAD 40 (MES A MES)</t>
  </si>
  <si>
    <t>GANANCIA TOTAL CON MODALIDAD 40 (RETROACTIVA)</t>
  </si>
  <si>
    <t>Seguro de vida</t>
  </si>
  <si>
    <t>Comisión por apertura</t>
  </si>
  <si>
    <t>Tasa (IVA incl.)</t>
  </si>
  <si>
    <t>1er crédito</t>
  </si>
  <si>
    <t>Cantidad que DEBES tener en tu AFORE para que podamos conseguirte un segundo fondeador (en caso de necesitarlo).</t>
  </si>
  <si>
    <t>En caso de no contar con recursos propios. Garantía para un segundo préstamo.</t>
  </si>
  <si>
    <t>PENSION MENSUAL INMEDIATA (DURANTE 60 MESES)</t>
  </si>
  <si>
    <t>BANCO REGULADO</t>
  </si>
  <si>
    <t>CUENTA PROPIA O          SEGUNDO FONDEADOR</t>
  </si>
  <si>
    <t>COSTO DEL FINANCIAMIENTO (BANCO REGULADO)</t>
  </si>
  <si>
    <t>¿CÓMO VOY A PAGAR EL FINANCIAMIENTO DEL BANCO?</t>
  </si>
  <si>
    <t>PARTICIPACIONES</t>
  </si>
  <si>
    <t>TOTAL DEL PAGO RETROACTIVO</t>
  </si>
  <si>
    <t>COSTO DEL SEGUNDO FINANCIAMIENTO                      (EN CASO DE REQUERIR)</t>
  </si>
  <si>
    <t xml:space="preserve">INVERSIÓN TOTAL             </t>
  </si>
  <si>
    <t>RECUPERACIÓN POR AFORE</t>
  </si>
  <si>
    <t xml:space="preserve">PENSION MENSUAL                        POR MES DE 30 DIAS </t>
  </si>
  <si>
    <t>AÑOS</t>
  </si>
  <si>
    <t>MESES</t>
  </si>
  <si>
    <t>Edades permitidas</t>
  </si>
  <si>
    <t>Meses</t>
  </si>
  <si>
    <t>SALARIO    REGISTRADO</t>
  </si>
  <si>
    <t>TIEMPO A COTIZAR EN MODALIDAD 40</t>
  </si>
  <si>
    <t>MOD 40</t>
  </si>
  <si>
    <t>¿A QUÉ EDAD DESEAS INGRESAR A MODALIDAD 40?</t>
  </si>
  <si>
    <t>SI TE PENSIONASTE EN ENERO: PENSIÓN CON AJUSTE POR INFLACIÓN A PARTIR DE FEBRERO DEL MISMO AÑO</t>
  </si>
  <si>
    <t>FECHA DE INGRESO A MODALIDAD 40 (APRÓX.)</t>
  </si>
  <si>
    <t>Escenario 1</t>
  </si>
  <si>
    <t>Escenario 2</t>
  </si>
  <si>
    <t>Escenario 3</t>
  </si>
  <si>
    <t>Escenario 4</t>
  </si>
  <si>
    <t>Escenario 5</t>
  </si>
  <si>
    <t>Escenario 6</t>
  </si>
  <si>
    <t>Escenario 7</t>
  </si>
  <si>
    <t>Pensión Actual</t>
  </si>
  <si>
    <t>Salario Prom. 250 Sem.</t>
  </si>
  <si>
    <t>Años Cotizados en Mod. 40</t>
  </si>
  <si>
    <t>Tasa de Rendimiento Total</t>
  </si>
  <si>
    <t>Tasa de Rendimiento Total (%)</t>
  </si>
  <si>
    <t>Edad al momento del trámite (años)</t>
  </si>
  <si>
    <t>Pensión Actual (MXN)</t>
  </si>
  <si>
    <t>Costo Total (MXN)</t>
  </si>
  <si>
    <t>Recuperación AFORE (MXN)</t>
  </si>
  <si>
    <t>Inversión Total (MXN)</t>
  </si>
  <si>
    <t>Ganancia a los 80 años  (MXN)</t>
  </si>
  <si>
    <t>Pensión con Modalidad 40</t>
  </si>
  <si>
    <t>Semanas Cotizadas Totales</t>
  </si>
  <si>
    <t>Nuevo Salario Prom. 250 Sem.</t>
  </si>
  <si>
    <t>Pago Retroactivo Mod. 40</t>
  </si>
  <si>
    <t>Pensión Mejorada (MNX)</t>
  </si>
  <si>
    <t>Ganancia a los 80 años (MXN)</t>
  </si>
  <si>
    <t>Estimado del Pago Retroac. (MXN)</t>
  </si>
  <si>
    <t>Financiamiento Pago Retroactivo</t>
  </si>
  <si>
    <t>Total del Pago Retroactivo (MXN)</t>
  </si>
  <si>
    <t>Aportación Banco Regulado (MXN)</t>
  </si>
  <si>
    <t>Aportación Segundo Fondeo (MXN)</t>
  </si>
  <si>
    <t>Pensión Sin Financiamiento (MXN)</t>
  </si>
  <si>
    <t>Pensión Con Financiamiento (MXN)</t>
  </si>
  <si>
    <t>Incremento a la Pensión (MXN)</t>
  </si>
  <si>
    <t>Descuento Mensual a Pensión (MXN)</t>
  </si>
  <si>
    <t>Pensión Inmediata</t>
  </si>
  <si>
    <t>Edad al concluir Mod. 40 (años)</t>
  </si>
  <si>
    <t>Recup. de la Inversión (meses)</t>
  </si>
  <si>
    <t>Pensión al concluir Financiamiento</t>
  </si>
  <si>
    <t>(MXN)</t>
  </si>
  <si>
    <t>Cantidad Mínima Requerida en AFORE</t>
  </si>
  <si>
    <t>EDAD AL CONCLUIR MODALIDAD 40 (PARA EL IMSS)</t>
  </si>
  <si>
    <t>Recuperación AFORE-Retroac. (MXN)</t>
  </si>
  <si>
    <t>Escenario 8</t>
  </si>
  <si>
    <t>Escenario 9</t>
  </si>
  <si>
    <t>Escenario 10</t>
  </si>
  <si>
    <t>Años Cobrados</t>
  </si>
  <si>
    <t>Edad (años)</t>
  </si>
  <si>
    <t>Descuento por Financiamiento</t>
  </si>
  <si>
    <t>PENSION MENSUAL INMEDIATA</t>
  </si>
  <si>
    <t>FECHA DE BAJA DE MODALIDAD 40 (APRÓX.)</t>
  </si>
  <si>
    <t>PENSIÓN MENSUAL AL LIQUIDAR FINANCIAMIENTO (60 MESES)</t>
  </si>
  <si>
    <t>COSTO MODALIDAD 40</t>
  </si>
  <si>
    <t>Escenario de Mayor Pensión</t>
  </si>
  <si>
    <t>Escenario de Menor Costo</t>
  </si>
  <si>
    <t>Edad al ingresar a Mod. 40 (años)</t>
  </si>
  <si>
    <t>Escenario de Mayor Rendimiento (Mejor Inversión)</t>
  </si>
  <si>
    <t>Segundo Escenario de Mayor Rendimiento (Segunda Mejor Inversión)</t>
  </si>
  <si>
    <t>Tercer Escenario de Mayor Rendimiento (Segunda Mejor Inversión)</t>
  </si>
  <si>
    <t>PENSIÓN ANUAL MÍNIMA GARANTIZADA</t>
  </si>
  <si>
    <t>Ganancia Acumulada</t>
  </si>
  <si>
    <t>https://bit.ly/Financiamiento_M40</t>
  </si>
  <si>
    <t>Información sobre Financiamiento Regulado y/o Socios de Negocio/Comisionistas</t>
  </si>
  <si>
    <t>Bullet 1</t>
  </si>
  <si>
    <t>Crédito final</t>
  </si>
  <si>
    <t>Monto crédito Final</t>
  </si>
  <si>
    <t>Monto del crédito inicial</t>
  </si>
  <si>
    <t>Descuento Mensual</t>
  </si>
  <si>
    <t>Monto de crédito</t>
  </si>
  <si>
    <t>Descuento mensual</t>
  </si>
  <si>
    <t>Concepto</t>
  </si>
  <si>
    <t>Fecha estimada de Ingreso a Modalidad 40</t>
  </si>
  <si>
    <t>Fecha estimada de Baja de Modalidad 40</t>
  </si>
  <si>
    <t>Pensión Mejorada</t>
  </si>
  <si>
    <t>Fecha de Ingreso a Modalidad 40</t>
  </si>
  <si>
    <t>Escenario Actual</t>
  </si>
  <si>
    <t>Salario Registrado en Mod. 40 (MXN)</t>
  </si>
  <si>
    <t>Edad de Retiro</t>
  </si>
  <si>
    <t>Monto de la Pensión Mensual</t>
  </si>
  <si>
    <t>Pensión Mensual Inmediata</t>
  </si>
  <si>
    <t>Pago Retroactivo (Sin Financiamiento)</t>
  </si>
  <si>
    <t>Pago Recurrente (Mes a Mes)</t>
  </si>
  <si>
    <t>Pago Retroactivo (Con Financiamiento)</t>
  </si>
  <si>
    <t>Pago Mes a Mes + Financiamiento</t>
  </si>
  <si>
    <t>Salario Registrado</t>
  </si>
  <si>
    <t>Monto de la Pensión Mensual Inmediata               (Pensión Mejorada - Descuento Mensual)</t>
  </si>
  <si>
    <t>Detalles de la Ganancia por Mejora de Pensión</t>
  </si>
  <si>
    <t>Fecha de Inicio (DD/MM/AAAA)</t>
  </si>
  <si>
    <t>Fecha de Término (DD/MM/AAAA)</t>
  </si>
  <si>
    <t>Salario Acumulado</t>
  </si>
  <si>
    <t>Salida de Datos</t>
  </si>
  <si>
    <t xml:space="preserve"> COSTO DE LA MODALIDAD 40 (2019 A +2030)</t>
  </si>
  <si>
    <t>CONCEPTO</t>
  </si>
  <si>
    <t>SALARIO REGISTRADO</t>
  </si>
  <si>
    <t>COSTO SOBRE EL SALARIO REGISTRADO (%)</t>
  </si>
  <si>
    <t>DÍAS PAGADOS</t>
  </si>
  <si>
    <t>CUOTA MENSUAL PROMEDIO</t>
  </si>
  <si>
    <t>CUOTA ANUAL</t>
  </si>
  <si>
    <t>COSTO MODALIDAD 40                     2019-2021</t>
  </si>
  <si>
    <t>COSTO MODALIDAD 40 2022</t>
  </si>
  <si>
    <t>COSTO MODALIDAD 40 2023</t>
  </si>
  <si>
    <t>COSTO MODALIDAD 40 2024</t>
  </si>
  <si>
    <t>COSTO MODALIDAD 40 2025</t>
  </si>
  <si>
    <t>COSTO MODALIDAD 40 2026</t>
  </si>
  <si>
    <t>COSTO MODALIDAD 40 2027</t>
  </si>
  <si>
    <t>COSTO MODALIDAD 40 2028</t>
  </si>
  <si>
    <t>COSTO MODALIDAD 40 2029</t>
  </si>
  <si>
    <t>COSTO MODALIDAD 40 2030</t>
  </si>
  <si>
    <t>COSTO MODALIDAD 40           2031 EN ADELANTE</t>
  </si>
  <si>
    <t>INVERSIÓN TOTAL EN MODALIDAD 40</t>
  </si>
  <si>
    <r>
      <t xml:space="preserve">INVERSIÓN EN MODALIDAD 40 </t>
    </r>
    <r>
      <rPr>
        <b/>
        <sz val="26"/>
        <color rgb="FFF3BD48"/>
        <rFont val="Arial Rounded MT Bold"/>
        <family val="2"/>
      </rPr>
      <t>-</t>
    </r>
    <r>
      <rPr>
        <b/>
        <sz val="15"/>
        <color rgb="FFF3BD48"/>
        <rFont val="Arial Rounded MT Bold"/>
        <family val="2"/>
      </rPr>
      <t xml:space="preserve"> RECUPERACION DE LA AFORE</t>
    </r>
  </si>
  <si>
    <t>Escenario
Actual</t>
  </si>
  <si>
    <t>Pensión
Mejorada</t>
  </si>
  <si>
    <t>Ganancia
en el año</t>
  </si>
  <si>
    <t>¿Aplica Descuento Mensual por Financiamiento Bancario (60 meses)?</t>
  </si>
  <si>
    <t>INGRESAR DATOS DE LA COTIZACIÓN EN LA MODALIDAD 40</t>
  </si>
  <si>
    <t>Financiamiento</t>
  </si>
  <si>
    <t>Datos de los Movimientos Salariales</t>
  </si>
  <si>
    <t>Semanas Utilizadas en el Cálculo</t>
  </si>
  <si>
    <t>Fecha de cálculo del proyecto ó Fecha de Baja ante el IMSS</t>
  </si>
  <si>
    <t>Fecha de Nacimiento (DD/MM/AAAA)*</t>
  </si>
  <si>
    <t>Edad Mínima de Pensión (escenario sin Modalidad 40)</t>
  </si>
  <si>
    <t>¿Planeas seguir trabajando (cotizando) ante el IMSS?</t>
  </si>
  <si>
    <t>¿Esposa(o) ó concubina(o)?</t>
  </si>
  <si>
    <t>Número de Padres económicamente dependientes</t>
  </si>
  <si>
    <t>Edad Actual o Edad a la Fecha de Baja</t>
  </si>
  <si>
    <t>Semanas Restantes por Cotizar</t>
  </si>
  <si>
    <t>Fecha Calculada para realizar el Trámite de Pensión                                          (escenario sin Modalidad 40)</t>
  </si>
  <si>
    <t>Edad de Pensión para el IMSS (años)</t>
  </si>
  <si>
    <t>Salario Promedio de las Últimas 250 Semanas</t>
  </si>
  <si>
    <t>Semanas de Cotización</t>
  </si>
  <si>
    <t>Total de Semanas de Cotización</t>
  </si>
  <si>
    <t>Resultados</t>
  </si>
  <si>
    <t>Porcentaje Asignado</t>
  </si>
  <si>
    <t>Cesantía en Edad Avanzada</t>
  </si>
  <si>
    <t>Datos Generales del(la) Asesorado(a)</t>
  </si>
  <si>
    <t>Diagnóstico de Pensión Actual</t>
  </si>
  <si>
    <t>Nombre</t>
  </si>
  <si>
    <t>Hijos menores</t>
  </si>
  <si>
    <t>Ayuda Asistencial</t>
  </si>
  <si>
    <t>Cónyuge</t>
  </si>
  <si>
    <t>Salario Promedio</t>
  </si>
  <si>
    <t>Años para Pensionarse</t>
  </si>
  <si>
    <t>Edad a la Fecha de Baja</t>
  </si>
  <si>
    <t>¿Aplica Pensión Mínima?</t>
  </si>
  <si>
    <t>Cuantía Básica de Pensión</t>
  </si>
  <si>
    <t>Incrementos Anuales</t>
  </si>
  <si>
    <t>Asignaciones Familiares</t>
  </si>
  <si>
    <t>Total de Pensión por Vejez</t>
  </si>
  <si>
    <t>Porcentaje por Edad</t>
  </si>
  <si>
    <t>Cuantías Anuales de Pensión para el Cálculo</t>
  </si>
  <si>
    <t>Pensión Mínima del Año</t>
  </si>
  <si>
    <t>Total de Pensión</t>
  </si>
  <si>
    <t>Monto Anual de Pensión calculado con base a lo estipulado en la Ley de 1973 de Seguro Social.</t>
  </si>
  <si>
    <t>Monto Mensual de Pensión calculado con base a lo estipulado en la Ley de 1973 de Seguro Social.</t>
  </si>
  <si>
    <t>Importe de Pensión Anual</t>
  </si>
  <si>
    <t>Importe de Pensión Mensual</t>
  </si>
  <si>
    <t>Aguinaldo</t>
  </si>
  <si>
    <t>El pago del aguinaldo se hace una vez al año y es equivalente a una mensualidad de la pensión del beneficiario, sin contar el importe por asignaciones familiares ni ayudas asistenciales.</t>
  </si>
  <si>
    <r>
      <rPr>
        <b/>
        <sz val="8"/>
        <color rgb="FF025C67"/>
        <rFont val="Calibri"/>
        <family val="2"/>
        <scheme val="minor"/>
      </rPr>
      <t>Pensión Mejorada</t>
    </r>
    <r>
      <rPr>
        <sz val="8"/>
        <color rgb="FF025C67"/>
        <rFont val="Calibri"/>
        <family val="2"/>
        <scheme val="minor"/>
      </rPr>
      <t xml:space="preserve">: Muestra la pensión que recibirá al utilizar financiamiento para cubrir el pago retroactivo.
</t>
    </r>
    <r>
      <rPr>
        <b/>
        <sz val="8"/>
        <color rgb="FF025C67"/>
        <rFont val="Calibri"/>
        <family val="2"/>
        <scheme val="minor"/>
      </rPr>
      <t>Descuento por Financiamiento</t>
    </r>
    <r>
      <rPr>
        <sz val="8"/>
        <color rgb="FF025C67"/>
        <rFont val="Calibri"/>
        <family val="2"/>
        <scheme val="minor"/>
      </rPr>
      <t xml:space="preserve">: Refleja el descuento mensual aplicado en caso de optar por financiamiento bancario (en caso de aplicar)
</t>
    </r>
    <r>
      <rPr>
        <b/>
        <sz val="8"/>
        <color rgb="FF025C67"/>
        <rFont val="Calibri"/>
        <family val="2"/>
        <scheme val="minor"/>
      </rPr>
      <t>Pensión Mensual Inmediata</t>
    </r>
    <r>
      <rPr>
        <sz val="8"/>
        <color rgb="FF025C67"/>
        <rFont val="Calibri"/>
        <family val="2"/>
        <scheme val="minor"/>
      </rPr>
      <t>: El monto de pensión mensual que cobrará el(la) pensionado(a), cada año, conforme al procedimiento que sigue el IMSS (ajuste de acuerdo con el índice de inflación (INPC) reportado por INEGI en el año anterior), para esto se consideró una tasa de inflación promedio anual de 4.50% anual.</t>
    </r>
  </si>
  <si>
    <t>Descuento por Financiamiento (en caso de aplicar)</t>
  </si>
  <si>
    <t>El importe de una pensión otorgada se actualiza cada año durante el mes de febrero, conforme al Índice Nacional de Precios al Consumidor (INPC). Si la fecha de baja utilizada para el cálculo de la pensión corresponde al mes de enero, el pensionado recibirá la actualización por inflación dentro del mismo año, reflejándose automáticamente en su pago mensual a partir de febrero.</t>
  </si>
  <si>
    <t>Importe de Pensión Mensual Actualizada por Inflación</t>
  </si>
  <si>
    <t>Semanas Cotizadas                      en el Periodo</t>
  </si>
  <si>
    <t>Porcentaje asignado de la Cuantía de Pensión de Vejez</t>
  </si>
  <si>
    <t>Número de Hijos mejores de 16 años(Estudiantes hasta 25 años)</t>
  </si>
  <si>
    <t>Pensión con Inflación</t>
  </si>
  <si>
    <t>El resultado obtenido permite estimar de manera precisa el monto base sobre el cual se determinará la pensión. Asimismo, sirve como punto de partida para evaluar distintos escenarios con y sin la aplicación de la Modalidad 40, considerando configuraciones de tiempo y salario base que optimicen el beneficio pensionario.</t>
  </si>
  <si>
    <t>Salario Promedio Actual</t>
  </si>
  <si>
    <t>Datos Generales</t>
  </si>
  <si>
    <t>Cálculo del Salario Promedio de las Últimas
250 Semanas Cotizadas</t>
  </si>
  <si>
    <t>Como parte esencial del análisis para proyectar la pensión, se calculó el salario promedio de las últimas 250 semanas cotizadas del asegurado. Este proceso incluyó la revisión detallada de los movimientos salariales registrados ante el IMSS, depurando periodos no cotizados y considerando únicamente semanas reconocidas por la Ley 73, de acuerdo con lo indicado en su Constancia de Semanas Cotizadas.</t>
  </si>
  <si>
    <t>Pensión Actualizada en el mismo año conforme al INPC</t>
  </si>
  <si>
    <t>Nombre del(la) asesorado(a)</t>
  </si>
  <si>
    <t>Preparado para:</t>
  </si>
  <si>
    <t>Fecha de Elaboración:</t>
  </si>
  <si>
    <t>Semanas Cotizadas Actuales</t>
  </si>
  <si>
    <t>Contigo Siempre</t>
  </si>
  <si>
    <t>Salario Registrado en Mod. 40 (UMAS)</t>
  </si>
  <si>
    <t>Semanas Cotizadas Finales</t>
  </si>
  <si>
    <t>Aguinaldo Anual</t>
  </si>
  <si>
    <t>Fecha estimada de Baja de Mod. 40</t>
  </si>
  <si>
    <t>Cantidad Mínima préstamo AFORE</t>
  </si>
  <si>
    <t>Pensión con Inflación en mismo año</t>
  </si>
  <si>
    <t>Salario Registrado (UMAS)</t>
  </si>
  <si>
    <t>Salario Registrado (MXN)</t>
  </si>
  <si>
    <t>Semanas Descontadas (AFORE) o Cotizadas ISSSTE                           (Agregar solo si se van a recuperar o se hará Portabilidad)</t>
  </si>
  <si>
    <t>Nota: El 100% de la cuantía de la Pensión de Vejez se otorga cuando el trámite se realiza a partir de los 65 años de edad. Si el asegurado decide pensionarse entre los 60 y 64 años, el trámite se realiza bajo el concepto de Pensión por Cesantía en Edad Avanzada y la cuantía de la pensión se reduce conforme a la tabla del artículo 171 de la Ley de 1973. Importante: estos porcentajes no modifican el monto de la pensión mínima garantizada, que es la misma sin importar si te pensionas a los 60 o a los 65 años.</t>
  </si>
  <si>
    <r>
      <t>CUANTÍA TOTAL DE ASIGNACIONES FAMILIARES</t>
    </r>
    <r>
      <rPr>
        <b/>
        <sz val="8"/>
        <color theme="2" tint="-0.89999084444715716"/>
        <rFont val="Arial Rounded MT Bold"/>
        <family val="2"/>
      </rPr>
      <t xml:space="preserve">  (2)</t>
    </r>
  </si>
  <si>
    <r>
      <t xml:space="preserve">CUANTÍA TOTAL DE LA PENSIÓN POR VEJEZ </t>
    </r>
    <r>
      <rPr>
        <b/>
        <sz val="8"/>
        <color theme="1"/>
        <rFont val="Arial Rounded MT Bold"/>
        <family val="2"/>
      </rPr>
      <t>(9)</t>
    </r>
  </si>
  <si>
    <t>Escenario a Ejecutar</t>
  </si>
  <si>
    <t>ANTES DE COMENZAR</t>
  </si>
  <si>
    <t>DESCARGO DE RESPONDABILIDAD</t>
  </si>
  <si>
    <t xml:space="preserve">  🟩 CONTACTO DIRECTO</t>
  </si>
  <si>
    <r>
      <t>Esta calculadora de pensiones por la Ley 73 y de Modalidad 40 fue diseñada como una herramienta de estimación. Los resultados dependen completamente de los datos ingresados por el usuario y no constituyen asesoría financiera personalizada.
✅</t>
    </r>
    <r>
      <rPr>
        <b/>
        <sz val="14"/>
        <color theme="1"/>
        <rFont val="Arial"/>
        <family val="2"/>
      </rPr>
      <t xml:space="preserve"> Esta herramienta SÍ puede ayudarte a:</t>
    </r>
    <r>
      <rPr>
        <sz val="14"/>
        <color theme="1"/>
        <rFont val="Arial"/>
        <family val="2"/>
      </rPr>
      <t xml:space="preserve">
- Estimar tu pensión mensual por Ley 73 con o sin Modalidad 40.
- Calcular inversión, retorno, pago retroactivo y flujos de pensión.
- Comparar hasta 10 escenarios diferentes con proyección gráfica (versión PRO).
- Calccular el flujo de pensiones cobradas con actualización por inflación (versión PRO).
❌ </t>
    </r>
    <r>
      <rPr>
        <b/>
        <sz val="14"/>
        <color theme="1"/>
        <rFont val="Arial"/>
        <family val="2"/>
      </rPr>
      <t>Esta herramienta NO puede:</t>
    </r>
    <r>
      <rPr>
        <sz val="14"/>
        <color theme="1"/>
        <rFont val="Arial"/>
        <family val="2"/>
      </rPr>
      <t xml:space="preserve">
- Predecir con exactitud cambios futuros en leyes o indicadores económicos.
- Reemplazar una asesoría financiera personalizada.
- Garantizar los resultados si hay errores en los datos que ingresas.</t>
    </r>
  </si>
  <si>
    <t>Tutorial de Uso Correcto:</t>
  </si>
  <si>
    <t>https://youtu.be/u1c0uzzWx-E</t>
  </si>
  <si>
    <t>🧩 ¿QUÉ MÁS PODEMOS HACER POR TI?</t>
  </si>
  <si>
    <t xml:space="preserve">Puedes ESCANEAR este código QR con tu celular o dar Clic a este ENLACE para mandarnos un mensaje directo.
</t>
  </si>
  <si>
    <t>💸  FINANCIAMIENTO DE MODALIDAD 40 (RETROACTIVA)</t>
  </si>
  <si>
    <t>¡Contáctanos!</t>
  </si>
  <si>
    <r>
      <t xml:space="preserve">Accede a préstamos para pagar el Retroactivo de Modalidad 40 con instituciones bancarias reguladas y con convenio IMSS.
📋 </t>
    </r>
    <r>
      <rPr>
        <b/>
        <sz val="14"/>
        <color theme="1"/>
        <rFont val="Arial"/>
        <family val="2"/>
      </rPr>
      <t xml:space="preserve">Requisitos para Financiamiento de Modalidad 40
</t>
    </r>
    <r>
      <rPr>
        <sz val="14"/>
        <color theme="1"/>
        <rFont val="Arial"/>
        <family val="2"/>
      </rPr>
      <t xml:space="preserve">
• No estar PENSIONADO.
• Pertenecer a la Ley 73.
• Tener al menos 60 años cumplidos.
• Contar con más de 1,300 semanas cotizadas.
• Tener entre 1 a 5 años sin trabajar cotizando para el IMSS.                                                                </t>
    </r>
  </si>
  <si>
    <t>Si cumples con TODOS estos requisitos, nuestra cotización es Gratuita.</t>
  </si>
  <si>
    <r>
      <t xml:space="preserve">Si eres Asesor Financiero y cuentas con cartera de clientes que cumplan estos requisitos, </t>
    </r>
    <r>
      <rPr>
        <b/>
        <sz val="14"/>
        <color theme="1"/>
        <rFont val="Arial"/>
        <family val="2"/>
      </rPr>
      <t>contamos con un atractivo esquema de comisiones.</t>
    </r>
  </si>
  <si>
    <t>✍️ CAPACITACIÓN PARA AGENTES DE SEGUROS Y DE AFORE</t>
  </si>
  <si>
    <t>Formamos asesores integrales capaces de:
• Identificar prospectos de Ley 73
• Aplicar simulaciones de pensión con herramientas especializadas.
• Brindar asesorías que generen ingresos inmediatos.
• Ofrecer soluciones de ahorro, financiamiento y gestión de trámites.
• Monetizar de forma ética y eficiente desde los primeros 30 días.</t>
  </si>
  <si>
    <t xml:space="preserve">
📱 WhatsApp: +52 55 1935 2955
📧 Correo: info@tuplanderetiro.mx</t>
  </si>
  <si>
    <r>
      <t xml:space="preserve">Ahora queremos que conozcas otros servicios con los que podemos ayudarte a ti o a tus clientes para maximizar sus resultados:
📐 Cálculo de pensión personalizado (Sin Asesoría) – </t>
    </r>
    <r>
      <rPr>
        <b/>
        <sz val="14"/>
        <color rgb="FFFFC000"/>
        <rFont val="Arial"/>
        <family val="2"/>
      </rPr>
      <t>$899 MXN</t>
    </r>
    <r>
      <rPr>
        <sz val="14"/>
        <color rgb="FFFFC000"/>
        <rFont val="Arial"/>
        <family val="2"/>
      </rPr>
      <t xml:space="preserve">
📉 Cálculo con Pago Retroactivo  (Sin Asesoría) – </t>
    </r>
    <r>
      <rPr>
        <b/>
        <sz val="14"/>
        <color rgb="FFFFC000"/>
        <rFont val="Arial"/>
        <family val="2"/>
      </rPr>
      <t>$899 MXN</t>
    </r>
    <r>
      <rPr>
        <sz val="14"/>
        <color rgb="FFFFC000"/>
        <rFont val="Arial"/>
        <family val="2"/>
      </rPr>
      <t xml:space="preserve">
👥 Asesoría en línea vía zoom (60 min) o presencial en CDMX – </t>
    </r>
    <r>
      <rPr>
        <b/>
        <sz val="14"/>
        <color rgb="FFFFC000"/>
        <rFont val="Arial"/>
        <family val="2"/>
      </rPr>
      <t>$1,799 a $3,099 MXN</t>
    </r>
    <r>
      <rPr>
        <sz val="14"/>
        <color rgb="FFFFC000"/>
        <rFont val="Arial"/>
        <family val="2"/>
      </rPr>
      <t xml:space="preserve">
📊 Proyecto de pensión vía zoom (60 min) o presencial en CDMX – </t>
    </r>
    <r>
      <rPr>
        <b/>
        <sz val="14"/>
        <color rgb="FFFFC000"/>
        <rFont val="Arial"/>
        <family val="2"/>
      </rPr>
      <t>$3,099 a $5,399 MXN</t>
    </r>
    <r>
      <rPr>
        <sz val="14"/>
        <color rgb="FFFFC000"/>
        <rFont val="Arial"/>
        <family val="2"/>
      </rPr>
      <t xml:space="preserve">
👣 Acompañamiento en 7 pasos – </t>
    </r>
    <r>
      <rPr>
        <b/>
        <sz val="14"/>
        <color rgb="FFFFC000"/>
        <rFont val="Arial"/>
        <family val="2"/>
      </rPr>
      <t>Desde $3,975 MXN</t>
    </r>
    <r>
      <rPr>
        <sz val="14"/>
        <color rgb="FFFFC000"/>
        <rFont val="Arial"/>
        <family val="2"/>
      </rPr>
      <t xml:space="preserve">
Te guiamos desde la revisión de documentos hasta obtener tu pensión.</t>
    </r>
  </si>
  <si>
    <t>https://wa.link/ix6fiu</t>
  </si>
  <si>
    <t>Edad de Pensión (años)</t>
  </si>
  <si>
    <t>Padres dependientes</t>
  </si>
  <si>
    <t>INGRESA LA FECHA CON BASE A LOS SIGUIENTE CRITERIOS:</t>
  </si>
  <si>
    <t>ESCOBAR LOPEZ LUIS ADAN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</si>
</sst>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quot;$&quot;#,##0.00;\-&quot;$&quot;#,##0.00"/>
    <numFmt numFmtId="165" formatCode="&quot;$&quot;#,##0.00;[Red]\-&quot;$&quot;#,##0.00"/>
    <numFmt numFmtId="166" formatCode="_-&quot;$&quot;* #,##0.00_-;\-&quot;$&quot;* #,##0.00_-;_-&quot;$&quot;* &quot;-&quot;??_-;_-@_-"/>
    <numFmt numFmtId="167" formatCode="_-* #,##0.00_-;\-* #,##0.00_-;_-* &quot;-&quot;??_-;_-@_-"/>
    <numFmt numFmtId="168" formatCode="0.000%"/>
    <numFmt numFmtId="169" formatCode="dd/mm/yy;@"/>
    <numFmt numFmtId="170" formatCode="dd/mm/yyyy;@"/>
    <numFmt numFmtId="171" formatCode="&quot;$&quot;#,##0.00"/>
    <numFmt numFmtId="172" formatCode="0_ "/>
    <numFmt numFmtId="173" formatCode="_-&quot;$&quot;* #,##0.000_-;\-&quot;$&quot;* #,##0.000_-;_-&quot;$&quot;* &quot;-&quot;??_-;_-@_-"/>
    <numFmt numFmtId="174" formatCode="&quot;$&quot;#,##0"/>
    <numFmt numFmtId="175" formatCode="0.000000"/>
    <numFmt numFmtId="176" formatCode="0.0%"/>
    <numFmt numFmtId="177" formatCode="&quot;$&quot;#,##0.000000;[Red]\-&quot;$&quot;#,##0.000000"/>
    <numFmt numFmtId="178" formatCode="0.0"/>
    <numFmt numFmtId="179" formatCode="0.000"/>
  </numFmts>
  <fonts count="193">
    <font>
      <sz val="11"/>
      <color theme="1"/>
      <name val="Calibri"/>
      <family val="2"/>
      <scheme val="minor"/>
    </font>
    <font>
      <sz val="11"/>
      <color theme="1"/>
      <name val="Calibri"/>
      <family val="2"/>
      <scheme val="minor"/>
    </font>
    <font>
      <sz val="16"/>
      <name val="Calibri"/>
      <family val="2"/>
      <scheme val="minor"/>
    </font>
    <font>
      <sz val="16"/>
      <color theme="1"/>
      <name val="Calibri"/>
      <family val="2"/>
      <scheme val="minor"/>
    </font>
    <font>
      <sz val="9"/>
      <color theme="0"/>
      <name val="Calibri"/>
      <family val="2"/>
      <scheme val="minor"/>
    </font>
    <font>
      <sz val="9"/>
      <color theme="1"/>
      <name val="Calibri"/>
      <family val="2"/>
      <scheme val="minor"/>
    </font>
    <font>
      <sz val="11"/>
      <name val="Calibri"/>
      <family val="2"/>
      <scheme val="minor"/>
    </font>
    <font>
      <b/>
      <sz val="9"/>
      <name val="Calibri"/>
      <family val="2"/>
      <scheme val="minor"/>
    </font>
    <font>
      <sz val="9"/>
      <name val="Calibri"/>
      <family val="2"/>
      <scheme val="minor"/>
    </font>
    <font>
      <b/>
      <sz val="9"/>
      <name val="Arial"/>
      <family val="2"/>
    </font>
    <font>
      <sz val="11"/>
      <color theme="1"/>
      <name val="Arial Narrow"/>
      <family val="2"/>
    </font>
    <font>
      <sz val="12"/>
      <color theme="1"/>
      <name val="Arial Rounded MT Bold"/>
      <family val="2"/>
    </font>
    <font>
      <b/>
      <sz val="12"/>
      <color theme="1"/>
      <name val="Arial Rounded MT Bold"/>
      <family val="2"/>
    </font>
    <font>
      <sz val="8.5"/>
      <name val="Helvetica Neue"/>
    </font>
    <font>
      <sz val="10"/>
      <name val="Arial Rounded MT Bold"/>
      <family val="2"/>
    </font>
    <font>
      <b/>
      <sz val="10"/>
      <name val="Arial Rounded MT Bold"/>
      <family val="2"/>
    </font>
    <font>
      <sz val="10"/>
      <color theme="1"/>
      <name val="Arial Rounded MT Bold"/>
      <family val="2"/>
    </font>
    <font>
      <b/>
      <sz val="10"/>
      <color theme="1"/>
      <name val="Arial Rounded MT Bold"/>
      <family val="2"/>
    </font>
    <font>
      <b/>
      <sz val="8.5"/>
      <name val="Helvetica Neue"/>
    </font>
    <font>
      <sz val="10"/>
      <color theme="1"/>
      <name val="Arial Narrow"/>
      <family val="2"/>
    </font>
    <font>
      <b/>
      <sz val="10"/>
      <color theme="2" tint="-0.89999084444715716"/>
      <name val="Arial Rounded MT Bold"/>
      <family val="2"/>
    </font>
    <font>
      <b/>
      <sz val="12"/>
      <name val="Helvetica Neue"/>
    </font>
    <font>
      <sz val="11"/>
      <color rgb="FFF3BD48"/>
      <name val="Arial Rounded MT Bold"/>
      <family val="2"/>
    </font>
    <font>
      <sz val="10"/>
      <color rgb="FFF3BD48"/>
      <name val="Arial Rounded MT Bold"/>
      <family val="2"/>
    </font>
    <font>
      <b/>
      <sz val="8.5"/>
      <color indexed="8"/>
      <name val="Cambria"/>
      <family val="1"/>
    </font>
    <font>
      <sz val="8.5"/>
      <color indexed="8"/>
      <name val="Cambria"/>
      <family val="1"/>
    </font>
    <font>
      <u/>
      <sz val="8.5"/>
      <color indexed="8"/>
      <name val="Cambria"/>
      <family val="1"/>
    </font>
    <font>
      <b/>
      <sz val="8.5"/>
      <color indexed="81"/>
      <name val="Cambria"/>
      <family val="1"/>
    </font>
    <font>
      <sz val="8.5"/>
      <color indexed="81"/>
      <name val="Cambria"/>
      <family val="1"/>
    </font>
    <font>
      <u/>
      <sz val="8.5"/>
      <color indexed="81"/>
      <name val="Cambria"/>
      <family val="1"/>
    </font>
    <font>
      <b/>
      <sz val="8.5"/>
      <color indexed="81"/>
      <name val="Cambria"/>
      <family val="1"/>
      <scheme val="major"/>
    </font>
    <font>
      <sz val="8.5"/>
      <color indexed="81"/>
      <name val="Cambria"/>
      <family val="1"/>
      <scheme val="major"/>
    </font>
    <font>
      <u/>
      <sz val="10"/>
      <color indexed="81"/>
      <name val="Cambria"/>
      <family val="1"/>
    </font>
    <font>
      <b/>
      <u/>
      <sz val="10"/>
      <color indexed="81"/>
      <name val="Cambria"/>
      <family val="1"/>
    </font>
    <font>
      <u/>
      <sz val="8.5"/>
      <color indexed="81"/>
      <name val="Cambria"/>
      <family val="1"/>
      <scheme val="major"/>
    </font>
    <font>
      <u/>
      <sz val="11"/>
      <color theme="10"/>
      <name val="Calibri"/>
      <family val="2"/>
      <scheme val="minor"/>
    </font>
    <font>
      <sz val="12"/>
      <name val="Arial"/>
      <family val="2"/>
    </font>
    <font>
      <u/>
      <sz val="12"/>
      <color indexed="12"/>
      <name val="Arial"/>
      <family val="2"/>
    </font>
    <font>
      <b/>
      <sz val="8.5"/>
      <color indexed="10"/>
      <name val="Cambria"/>
      <family val="1"/>
      <scheme val="major"/>
    </font>
    <font>
      <sz val="12"/>
      <color rgb="FFF3BD48"/>
      <name val="Arial Rounded MT Bold"/>
      <family val="2"/>
    </font>
    <font>
      <b/>
      <sz val="9"/>
      <color rgb="FFF3BD48"/>
      <name val="Calibri"/>
      <family val="2"/>
      <scheme val="minor"/>
    </font>
    <font>
      <b/>
      <u/>
      <sz val="8.5"/>
      <color indexed="10"/>
      <name val="Cambria"/>
      <family val="1"/>
      <scheme val="major"/>
    </font>
    <font>
      <sz val="9"/>
      <color rgb="FFF3BD48"/>
      <name val="Arial Rounded MT Bold"/>
      <family val="2"/>
    </font>
    <font>
      <sz val="8.5"/>
      <color indexed="10"/>
      <name val="Cambria"/>
      <family val="1"/>
      <scheme val="major"/>
    </font>
    <font>
      <sz val="9"/>
      <name val="Arial Rounded MT Bold"/>
      <family val="2"/>
    </font>
    <font>
      <sz val="8"/>
      <name val="Arial Rounded MT Bold"/>
      <family val="2"/>
    </font>
    <font>
      <b/>
      <sz val="11"/>
      <name val="Helvetica Neue"/>
    </font>
    <font>
      <sz val="7"/>
      <name val="Arial Rounded MT Bold"/>
      <family val="2"/>
    </font>
    <font>
      <sz val="11"/>
      <name val="Arial Rounded MT Bold"/>
      <family val="2"/>
    </font>
    <font>
      <sz val="8"/>
      <color rgb="FFF3BD48"/>
      <name val="Arial Rounded MT Bold"/>
      <family val="2"/>
    </font>
    <font>
      <sz val="14"/>
      <color rgb="FFF3BD48"/>
      <name val="Arial Rounded MT Bold"/>
      <family val="2"/>
    </font>
    <font>
      <sz val="7"/>
      <color theme="1"/>
      <name val="Arial Rounded MT Bold"/>
      <family val="2"/>
    </font>
    <font>
      <b/>
      <sz val="11"/>
      <color theme="1"/>
      <name val="Arial Rounded MT Bold"/>
      <family val="2"/>
    </font>
    <font>
      <b/>
      <sz val="8"/>
      <color theme="1"/>
      <name val="Arial Rounded MT Bold"/>
      <family val="2"/>
    </font>
    <font>
      <b/>
      <sz val="14"/>
      <color theme="2" tint="-0.89999084444715716"/>
      <name val="Arial Rounded MT Bold"/>
      <family val="2"/>
    </font>
    <font>
      <b/>
      <sz val="14"/>
      <name val="Arial Rounded MT Bold"/>
      <family val="2"/>
    </font>
    <font>
      <b/>
      <sz val="8"/>
      <color theme="2" tint="-0.89999084444715716"/>
      <name val="Arial Rounded MT Bold"/>
      <family val="2"/>
    </font>
    <font>
      <b/>
      <sz val="20"/>
      <color rgb="FFF3BD48"/>
      <name val="Arial Rounded MT Bold"/>
      <family val="2"/>
    </font>
    <font>
      <b/>
      <sz val="18"/>
      <color rgb="FFF3BD48"/>
      <name val="Arial Rounded MT Bold"/>
      <family val="2"/>
    </font>
    <font>
      <sz val="9"/>
      <color indexed="81"/>
      <name val="Tahoma"/>
      <family val="2"/>
    </font>
    <font>
      <b/>
      <sz val="9"/>
      <color indexed="81"/>
      <name val="Tahoma"/>
      <family val="2"/>
    </font>
    <font>
      <b/>
      <sz val="9"/>
      <color indexed="10"/>
      <name val="Tahoma"/>
      <family val="2"/>
    </font>
    <font>
      <u/>
      <sz val="9"/>
      <color indexed="81"/>
      <name val="Tahoma"/>
      <family val="2"/>
    </font>
    <font>
      <sz val="18"/>
      <name val="Arial Rounded MT Bold"/>
      <family val="2"/>
    </font>
    <font>
      <sz val="16"/>
      <name val="Arial Rounded MT Bold"/>
      <family val="2"/>
    </font>
    <font>
      <sz val="9"/>
      <color theme="1"/>
      <name val="Arial Rounded MT Bold"/>
      <family val="2"/>
    </font>
    <font>
      <sz val="8"/>
      <color theme="1"/>
      <name val="Arial Rounded MT Bold"/>
      <family val="2"/>
    </font>
    <font>
      <sz val="8"/>
      <name val="Calibri"/>
      <family val="2"/>
      <scheme val="minor"/>
    </font>
    <font>
      <b/>
      <sz val="8"/>
      <color rgb="FF025C67"/>
      <name val="Arial Nova Cond"/>
      <family val="2"/>
    </font>
    <font>
      <b/>
      <sz val="7"/>
      <name val="Arial Rounded MT Bold"/>
      <family val="2"/>
    </font>
    <font>
      <b/>
      <sz val="22"/>
      <color rgb="FFF3BD48"/>
      <name val="Arial Rounded MT Bold"/>
      <family val="2"/>
    </font>
    <font>
      <sz val="16"/>
      <color rgb="FFF3BD48"/>
      <name val="Arial Rounded MT Bold"/>
      <family val="2"/>
    </font>
    <font>
      <sz val="8"/>
      <name val="Helvetica Neue"/>
    </font>
    <font>
      <sz val="6"/>
      <name val="Helvetica Neue"/>
    </font>
    <font>
      <b/>
      <sz val="8"/>
      <color indexed="81"/>
      <name val="Tahoma"/>
      <family val="2"/>
    </font>
    <font>
      <sz val="8"/>
      <color indexed="81"/>
      <name val="Tahoma"/>
      <family val="2"/>
    </font>
    <font>
      <b/>
      <sz val="8"/>
      <color indexed="10"/>
      <name val="Tahoma"/>
      <family val="2"/>
    </font>
    <font>
      <u/>
      <sz val="8"/>
      <color indexed="81"/>
      <name val="Tahoma"/>
      <family val="2"/>
    </font>
    <font>
      <b/>
      <sz val="9"/>
      <color rgb="FF025C67"/>
      <name val="Arial Nova Cond"/>
      <family val="2"/>
    </font>
    <font>
      <b/>
      <sz val="8.5"/>
      <color rgb="FF025C67"/>
      <name val="Arial Nova Cond"/>
      <family val="2"/>
    </font>
    <font>
      <sz val="8.5"/>
      <name val="Arial Rounded MT Bold"/>
      <family val="2"/>
    </font>
    <font>
      <sz val="8"/>
      <color indexed="10"/>
      <name val="Tahoma"/>
      <family val="2"/>
    </font>
    <font>
      <b/>
      <sz val="10"/>
      <color rgb="FFF3BD48"/>
      <name val="Arial Rounded MT Bold"/>
      <family val="2"/>
    </font>
    <font>
      <b/>
      <sz val="22"/>
      <name val="Arial Rounded MT Bold"/>
      <family val="2"/>
    </font>
    <font>
      <sz val="15"/>
      <name val="Arial Rounded MT Bold"/>
      <family val="2"/>
    </font>
    <font>
      <sz val="14"/>
      <color theme="1"/>
      <name val="Calibri"/>
      <family val="2"/>
      <scheme val="minor"/>
    </font>
    <font>
      <b/>
      <sz val="11"/>
      <color theme="1"/>
      <name val="Calibri"/>
      <family val="2"/>
      <scheme val="minor"/>
    </font>
    <font>
      <sz val="8"/>
      <color theme="1"/>
      <name val="Calibri"/>
      <family val="2"/>
      <scheme val="minor"/>
    </font>
    <font>
      <b/>
      <sz val="16"/>
      <color rgb="FFF3BD48"/>
      <name val="Arial Rounded MT Bold"/>
      <family val="2"/>
    </font>
    <font>
      <b/>
      <sz val="26"/>
      <color rgb="FFF3BD48"/>
      <name val="Arial Rounded MT Bold"/>
      <family val="2"/>
    </font>
    <font>
      <b/>
      <sz val="18"/>
      <color rgb="FF025C67"/>
      <name val="Arial Rounded MT Bold"/>
      <family val="2"/>
    </font>
    <font>
      <sz val="22"/>
      <color rgb="FFF3BD48"/>
      <name val="Arial Rounded MT Bold"/>
      <family val="2"/>
    </font>
    <font>
      <sz val="16"/>
      <color rgb="FF025C67"/>
      <name val="Arial Rounded MT Bold"/>
      <family val="2"/>
    </font>
    <font>
      <sz val="18"/>
      <color rgb="FF025C67"/>
      <name val="Arial Rounded MT Bold"/>
      <family val="2"/>
    </font>
    <font>
      <b/>
      <sz val="22"/>
      <color rgb="FF025C67"/>
      <name val="Arial Rounded MT Bold"/>
      <family val="2"/>
    </font>
    <font>
      <b/>
      <sz val="14"/>
      <color rgb="FF025C67"/>
      <name val="Calibri"/>
      <family val="2"/>
      <scheme val="minor"/>
    </font>
    <font>
      <b/>
      <sz val="12"/>
      <color rgb="FF025C67"/>
      <name val="Arial Rounded MT Bold"/>
      <family val="2"/>
    </font>
    <font>
      <b/>
      <sz val="28"/>
      <name val="Arial Rounded MT Bold"/>
      <family val="2"/>
    </font>
    <font>
      <sz val="11"/>
      <color rgb="FF025C67"/>
      <name val="Arial Rounded MT Bold"/>
      <family val="2"/>
    </font>
    <font>
      <b/>
      <sz val="20"/>
      <color rgb="FF025C67"/>
      <name val="Arial Rounded MT Bold"/>
      <family val="2"/>
    </font>
    <font>
      <sz val="11"/>
      <color theme="1"/>
      <name val="Arial"/>
      <family val="2"/>
    </font>
    <font>
      <b/>
      <sz val="26"/>
      <color rgb="FF025C67"/>
      <name val="Arial Rounded MT Bold"/>
      <family val="2"/>
    </font>
    <font>
      <sz val="26"/>
      <color rgb="FF025C67"/>
      <name val="Arial Rounded MT Bold"/>
      <family val="2"/>
    </font>
    <font>
      <b/>
      <sz val="16"/>
      <color rgb="FF025C67"/>
      <name val="Arial Rounded MT Bold"/>
      <family val="2"/>
    </font>
    <font>
      <sz val="14"/>
      <name val="Arial Rounded MT Bold"/>
      <family val="2"/>
    </font>
    <font>
      <sz val="15"/>
      <color rgb="FF025C67"/>
      <name val="Arial Rounded MT Bold"/>
      <family val="2"/>
    </font>
    <font>
      <b/>
      <sz val="48"/>
      <color rgb="FFF3BD48"/>
      <name val="Calibri"/>
      <family val="2"/>
      <scheme val="minor"/>
    </font>
    <font>
      <b/>
      <sz val="22"/>
      <color rgb="FF025C67"/>
      <name val="Calibri"/>
      <family val="2"/>
      <scheme val="minor"/>
    </font>
    <font>
      <b/>
      <sz val="26"/>
      <color rgb="FF025C67"/>
      <name val="Calibri"/>
      <family val="2"/>
      <scheme val="minor"/>
    </font>
    <font>
      <sz val="12"/>
      <color theme="1"/>
      <name val="Calibri"/>
      <family val="2"/>
      <scheme val="minor"/>
    </font>
    <font>
      <b/>
      <sz val="16"/>
      <name val="Arial Rounded MT Bold"/>
      <family val="2"/>
    </font>
    <font>
      <b/>
      <sz val="36"/>
      <color rgb="FFF3BD48"/>
      <name val="Calibri"/>
      <family val="2"/>
      <scheme val="minor"/>
    </font>
    <font>
      <sz val="10"/>
      <color theme="1"/>
      <name val="Calibri"/>
      <family val="2"/>
      <scheme val="minor"/>
    </font>
    <font>
      <sz val="11"/>
      <name val="Helvetica Neue"/>
    </font>
    <font>
      <b/>
      <sz val="24"/>
      <name val="Arial Rounded MT Bold"/>
      <family val="2"/>
    </font>
    <font>
      <b/>
      <sz val="16"/>
      <name val="Calibri"/>
      <family val="2"/>
      <scheme val="minor"/>
    </font>
    <font>
      <b/>
      <sz val="8"/>
      <color rgb="FFF3BD48"/>
      <name val="Calibri"/>
      <family val="2"/>
      <scheme val="minor"/>
    </font>
    <font>
      <b/>
      <sz val="8"/>
      <color rgb="FF025C67"/>
      <name val="Calibri"/>
      <family val="2"/>
      <scheme val="minor"/>
    </font>
    <font>
      <b/>
      <sz val="22"/>
      <color rgb="FFF3BD48"/>
      <name val="Calibri"/>
      <family val="2"/>
      <scheme val="minor"/>
    </font>
    <font>
      <b/>
      <sz val="20"/>
      <color rgb="FFF3BD48"/>
      <name val="Calibri"/>
      <family val="2"/>
      <scheme val="minor"/>
    </font>
    <font>
      <b/>
      <sz val="18"/>
      <color rgb="FFF3BD48"/>
      <name val="Calibri"/>
      <family val="2"/>
      <scheme val="minor"/>
    </font>
    <font>
      <b/>
      <sz val="9"/>
      <color theme="1"/>
      <name val="Calibri"/>
      <family val="2"/>
      <scheme val="minor"/>
    </font>
    <font>
      <b/>
      <sz val="9"/>
      <color rgb="FF30665E"/>
      <name val="Calibri"/>
      <family val="2"/>
      <scheme val="minor"/>
    </font>
    <font>
      <sz val="9"/>
      <color rgb="FF025C67"/>
      <name val="Calibri"/>
      <family val="2"/>
      <scheme val="minor"/>
    </font>
    <font>
      <b/>
      <sz val="9"/>
      <color rgb="FF025C67"/>
      <name val="Calibri"/>
      <family val="2"/>
      <scheme val="minor"/>
    </font>
    <font>
      <sz val="8"/>
      <color rgb="FF025C67"/>
      <name val="Calibri"/>
      <family val="2"/>
      <scheme val="minor"/>
    </font>
    <font>
      <b/>
      <sz val="7"/>
      <color theme="1"/>
      <name val="Calibri"/>
      <family val="2"/>
      <scheme val="minor"/>
    </font>
    <font>
      <b/>
      <sz val="24"/>
      <color rgb="FF025C67"/>
      <name val="Arial Rounded MT Bold"/>
      <family val="2"/>
    </font>
    <font>
      <sz val="18"/>
      <color theme="1"/>
      <name val="Calibri"/>
      <family val="2"/>
      <scheme val="minor"/>
    </font>
    <font>
      <u/>
      <sz val="18"/>
      <color theme="10"/>
      <name val="Calibri"/>
      <family val="2"/>
      <scheme val="minor"/>
    </font>
    <font>
      <u/>
      <sz val="22"/>
      <color theme="10"/>
      <name val="Calibri"/>
      <family val="2"/>
      <scheme val="minor"/>
    </font>
    <font>
      <sz val="22"/>
      <color theme="1"/>
      <name val="Calibri"/>
      <family val="2"/>
      <scheme val="minor"/>
    </font>
    <font>
      <b/>
      <sz val="16"/>
      <color theme="1"/>
      <name val="Calibri"/>
      <family val="2"/>
      <scheme val="minor"/>
    </font>
    <font>
      <b/>
      <sz val="18"/>
      <color theme="1"/>
      <name val="Calibri"/>
      <family val="2"/>
      <scheme val="minor"/>
    </font>
    <font>
      <b/>
      <sz val="10"/>
      <color theme="1"/>
      <name val="Calibri"/>
      <family val="2"/>
      <scheme val="minor"/>
    </font>
    <font>
      <sz val="11"/>
      <color rgb="FF025C67"/>
      <name val="Calibri"/>
      <family val="2"/>
      <scheme val="minor"/>
    </font>
    <font>
      <sz val="10"/>
      <color rgb="FF025C67"/>
      <name val="Calibri"/>
      <family val="2"/>
      <scheme val="minor"/>
    </font>
    <font>
      <b/>
      <sz val="18"/>
      <color rgb="FF025C67"/>
      <name val="ADLaM Display"/>
    </font>
    <font>
      <b/>
      <sz val="20"/>
      <color rgb="FFF3BD48"/>
      <name val="ADLaM Display"/>
    </font>
    <font>
      <b/>
      <sz val="14"/>
      <color rgb="FFF3BD48"/>
      <name val="ADLaM Display"/>
    </font>
    <font>
      <b/>
      <sz val="11"/>
      <color rgb="FF025C67"/>
      <name val="Calibri"/>
      <family val="2"/>
      <scheme val="minor"/>
    </font>
    <font>
      <b/>
      <sz val="11"/>
      <color rgb="FFF3BD48"/>
      <name val="Calibri"/>
      <family val="2"/>
      <scheme val="minor"/>
    </font>
    <font>
      <b/>
      <sz val="12"/>
      <color rgb="FF025C67"/>
      <name val="Calibri"/>
      <family val="2"/>
      <scheme val="minor"/>
    </font>
    <font>
      <b/>
      <sz val="16"/>
      <color rgb="FF025C67"/>
      <name val="Calibri"/>
      <family val="2"/>
      <scheme val="minor"/>
    </font>
    <font>
      <b/>
      <sz val="17"/>
      <color rgb="FF025C67"/>
      <name val="ADLaM Display"/>
    </font>
    <font>
      <b/>
      <sz val="14"/>
      <color rgb="FF008080"/>
      <name val="Calibri"/>
      <family val="2"/>
    </font>
    <font>
      <sz val="12"/>
      <color rgb="FF025C67"/>
      <name val="Calibri"/>
      <family val="2"/>
      <scheme val="minor"/>
    </font>
    <font>
      <sz val="11"/>
      <color rgb="FFC00000"/>
      <name val="Calibri"/>
      <family val="2"/>
      <scheme val="minor"/>
    </font>
    <font>
      <sz val="15"/>
      <color rgb="FFF3BD48"/>
      <name val="Arial Rounded MT Bold"/>
      <family val="2"/>
    </font>
    <font>
      <sz val="10"/>
      <color rgb="FF025C67"/>
      <name val="Arial Rounded MT Bold"/>
      <family val="2"/>
    </font>
    <font>
      <sz val="11.5"/>
      <color rgb="FF025C67"/>
      <name val="Arial Rounded MT Bold"/>
      <family val="2"/>
    </font>
    <font>
      <b/>
      <sz val="15"/>
      <color rgb="FFF3BD48"/>
      <name val="Arial Rounded MT Bold"/>
      <family val="2"/>
    </font>
    <font>
      <b/>
      <sz val="15"/>
      <color theme="1"/>
      <name val="Calibri"/>
      <family val="2"/>
      <scheme val="minor"/>
    </font>
    <font>
      <b/>
      <sz val="15.5"/>
      <color theme="1"/>
      <name val="Calibri"/>
      <family val="2"/>
      <scheme val="minor"/>
    </font>
    <font>
      <sz val="8.5"/>
      <color theme="1"/>
      <name val="Arial Rounded MT Bold"/>
      <family val="2"/>
    </font>
    <font>
      <b/>
      <sz val="10"/>
      <color theme="0"/>
      <name val="Calibri"/>
      <family val="2"/>
      <scheme val="minor"/>
    </font>
    <font>
      <sz val="10"/>
      <name val="Calibri"/>
      <family val="2"/>
      <scheme val="minor"/>
    </font>
    <font>
      <b/>
      <sz val="10"/>
      <name val="Calibri"/>
      <family val="2"/>
      <scheme val="minor"/>
    </font>
    <font>
      <b/>
      <sz val="12"/>
      <color theme="1"/>
      <name val="Calibri"/>
      <family val="2"/>
      <scheme val="minor"/>
    </font>
    <font>
      <b/>
      <sz val="14"/>
      <color rgb="FFF3BD48"/>
      <name val="Calibri"/>
      <family val="2"/>
      <scheme val="minor"/>
    </font>
    <font>
      <sz val="8.5"/>
      <color rgb="FF025C67"/>
      <name val="Helvetica Neue"/>
    </font>
    <font>
      <sz val="8"/>
      <color rgb="FF025C67"/>
      <name val="Helvetica Neue"/>
    </font>
    <font>
      <b/>
      <sz val="18"/>
      <color rgb="FF025C67"/>
      <name val="Calibri"/>
      <family val="2"/>
      <scheme val="minor"/>
    </font>
    <font>
      <sz val="14"/>
      <color rgb="FF025C67"/>
      <name val="ADLaM Display"/>
    </font>
    <font>
      <b/>
      <sz val="16"/>
      <color rgb="FF025C67"/>
      <name val="ADLaM Display"/>
    </font>
    <font>
      <sz val="14"/>
      <name val="Calibri"/>
      <family val="2"/>
      <scheme val="minor"/>
    </font>
    <font>
      <b/>
      <sz val="11"/>
      <color theme="0"/>
      <name val="Calibri"/>
      <family val="2"/>
      <scheme val="minor"/>
    </font>
    <font>
      <b/>
      <sz val="14"/>
      <name val="Calibri"/>
      <family val="2"/>
      <scheme val="minor"/>
    </font>
    <font>
      <sz val="7"/>
      <color rgb="FF025C67"/>
      <name val="Calibri"/>
      <family val="2"/>
      <scheme val="minor"/>
    </font>
    <font>
      <b/>
      <sz val="8"/>
      <color rgb="FF025C67"/>
      <name val="ADLaM Display"/>
    </font>
    <font>
      <sz val="8"/>
      <color rgb="FFF3BD48"/>
      <name val="Calibri"/>
      <family val="2"/>
      <scheme val="minor"/>
    </font>
    <font>
      <b/>
      <sz val="14"/>
      <color rgb="FF025C67"/>
      <name val="ADLaM Display"/>
    </font>
    <font>
      <b/>
      <sz val="16"/>
      <color rgb="FFF3BD48"/>
      <name val="Calibri"/>
      <family val="2"/>
      <scheme val="minor"/>
    </font>
    <font>
      <b/>
      <sz val="20"/>
      <color rgb="FF025C67"/>
      <name val="Calibri"/>
      <family val="2"/>
      <scheme val="minor"/>
    </font>
    <font>
      <sz val="14"/>
      <color rgb="FF025C67"/>
      <name val="Calibri"/>
      <family val="2"/>
      <scheme val="minor"/>
    </font>
    <font>
      <sz val="18"/>
      <color rgb="FF025C67"/>
      <name val="Alasassy Caps"/>
    </font>
    <font>
      <sz val="16"/>
      <color theme="0"/>
      <name val="Brush Script MT"/>
      <family val="4"/>
    </font>
    <font>
      <b/>
      <sz val="16"/>
      <color rgb="FFFFC000"/>
      <name val="Arial"/>
      <family val="2"/>
    </font>
    <font>
      <b/>
      <sz val="15"/>
      <color theme="1"/>
      <name val="Arial"/>
      <family val="2"/>
    </font>
    <font>
      <b/>
      <sz val="14"/>
      <name val="Arial"/>
      <family val="2"/>
    </font>
    <font>
      <sz val="14"/>
      <color theme="1"/>
      <name val="Arial"/>
      <family val="2"/>
    </font>
    <font>
      <b/>
      <sz val="14"/>
      <color theme="1"/>
      <name val="Arial"/>
      <family val="2"/>
    </font>
    <font>
      <sz val="14"/>
      <color rgb="FFFFC000"/>
      <name val="Arial Rounded MT Bold"/>
      <family val="2"/>
    </font>
    <font>
      <b/>
      <sz val="20"/>
      <color theme="1"/>
      <name val="Arial"/>
      <family val="2"/>
    </font>
    <font>
      <sz val="22"/>
      <color theme="1"/>
      <name val="Arial"/>
      <family val="2"/>
    </font>
    <font>
      <b/>
      <sz val="15"/>
      <color rgb="FFFFC000"/>
      <name val="Arial"/>
      <family val="2"/>
    </font>
    <font>
      <sz val="12"/>
      <name val="Arial Rounded MT Bold"/>
      <family val="2"/>
    </font>
    <font>
      <sz val="12"/>
      <color rgb="FFFFC000"/>
      <name val="Arial Rounded MT Bold"/>
      <family val="2"/>
    </font>
    <font>
      <sz val="14"/>
      <color rgb="FFFFC000"/>
      <name val="Arial"/>
      <family val="2"/>
    </font>
    <font>
      <b/>
      <sz val="14"/>
      <color rgb="FFFFC000"/>
      <name val="Arial"/>
      <family val="2"/>
    </font>
    <font>
      <b/>
      <u/>
      <sz val="14"/>
      <color rgb="FFFFC000"/>
      <name val="Calibri"/>
      <family val="2"/>
      <scheme val="minor"/>
    </font>
    <font>
      <b/>
      <sz val="20"/>
      <color theme="1"/>
      <name val="Calibri"/>
      <family val="2"/>
      <scheme val="minor"/>
    </font>
    <font>
      <b/>
      <u/>
      <sz val="24"/>
      <color theme="10"/>
      <name val="Calibri"/>
      <family val="2"/>
      <scheme val="minor"/>
    </font>
  </fonts>
  <fills count="15">
    <fill>
      <patternFill patternType="none"/>
    </fill>
    <fill>
      <patternFill patternType="gray125"/>
    </fill>
    <fill>
      <patternFill patternType="solid">
        <fgColor theme="0"/>
        <bgColor indexed="64"/>
      </patternFill>
    </fill>
    <fill>
      <patternFill patternType="solid">
        <fgColor rgb="FF025C67"/>
        <bgColor indexed="64"/>
      </patternFill>
    </fill>
    <fill>
      <patternFill patternType="solid">
        <fgColor rgb="FFF3BD48"/>
        <bgColor indexed="64"/>
      </patternFill>
    </fill>
    <fill>
      <patternFill patternType="solid">
        <fgColor rgb="FFF5F8EE"/>
        <bgColor indexed="64"/>
      </patternFill>
    </fill>
    <fill>
      <patternFill patternType="solid">
        <fgColor theme="0" tint="-0.34998626667073579"/>
        <bgColor indexed="64"/>
      </patternFill>
    </fill>
    <fill>
      <patternFill patternType="solid">
        <fgColor rgb="FFEBFFFF"/>
        <bgColor indexed="64"/>
      </patternFill>
    </fill>
    <fill>
      <patternFill patternType="solid">
        <fgColor rgb="FF30665E"/>
        <bgColor indexed="64"/>
      </patternFill>
    </fill>
    <fill>
      <patternFill patternType="solid">
        <fgColor rgb="FFFDFFEF"/>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FCEED0"/>
        <bgColor indexed="64"/>
      </patternFill>
    </fill>
    <fill>
      <patternFill patternType="solid">
        <fgColor rgb="FFFFFF00"/>
        <bgColor indexed="64"/>
      </patternFill>
    </fill>
  </fills>
  <borders count="228">
    <border>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right/>
      <top style="medium">
        <color indexed="64"/>
      </top>
      <bottom/>
      <diagonal/>
    </border>
    <border>
      <left/>
      <right style="medium">
        <color indexed="64"/>
      </right>
      <top/>
      <bottom/>
      <diagonal/>
    </border>
    <border>
      <left style="hair">
        <color rgb="FF025C67"/>
      </left>
      <right style="hair">
        <color rgb="FF025C67"/>
      </right>
      <top style="hair">
        <color rgb="FF025C67"/>
      </top>
      <bottom style="hair">
        <color rgb="FF025C67"/>
      </bottom>
      <diagonal/>
    </border>
    <border>
      <left style="thick">
        <color rgb="FF025C67"/>
      </left>
      <right/>
      <top style="thick">
        <color rgb="FF025C67"/>
      </top>
      <bottom style="thick">
        <color rgb="FF025C67"/>
      </bottom>
      <diagonal/>
    </border>
    <border>
      <left/>
      <right style="thick">
        <color rgb="FF025C67"/>
      </right>
      <top style="thick">
        <color rgb="FF025C67"/>
      </top>
      <bottom style="thick">
        <color rgb="FF025C67"/>
      </bottom>
      <diagonal/>
    </border>
    <border>
      <left style="thick">
        <color rgb="FF025C67"/>
      </left>
      <right/>
      <top style="thick">
        <color rgb="FF025C67"/>
      </top>
      <bottom/>
      <diagonal/>
    </border>
    <border>
      <left/>
      <right style="thick">
        <color rgb="FF025C67"/>
      </right>
      <top style="thick">
        <color rgb="FF025C67"/>
      </top>
      <bottom/>
      <diagonal/>
    </border>
    <border>
      <left style="thick">
        <color rgb="FF025C67"/>
      </left>
      <right/>
      <top/>
      <bottom style="thick">
        <color rgb="FF025C67"/>
      </bottom>
      <diagonal/>
    </border>
    <border>
      <left/>
      <right style="thick">
        <color rgb="FF025C67"/>
      </right>
      <top/>
      <bottom style="thick">
        <color rgb="FF025C67"/>
      </bottom>
      <diagonal/>
    </border>
    <border>
      <left/>
      <right/>
      <top style="thick">
        <color rgb="FF025C67"/>
      </top>
      <bottom/>
      <diagonal/>
    </border>
    <border>
      <left style="hair">
        <color rgb="FF025C67"/>
      </left>
      <right style="hair">
        <color rgb="FF025C67"/>
      </right>
      <top style="medium">
        <color rgb="FF025C67"/>
      </top>
      <bottom style="hair">
        <color rgb="FF025C67"/>
      </bottom>
      <diagonal/>
    </border>
    <border>
      <left/>
      <right/>
      <top style="thick">
        <color rgb="FFF3BD48"/>
      </top>
      <bottom/>
      <diagonal/>
    </border>
    <border>
      <left style="thick">
        <color rgb="FFF3BD48"/>
      </left>
      <right/>
      <top style="thick">
        <color rgb="FFF3BD48"/>
      </top>
      <bottom/>
      <diagonal/>
    </border>
    <border>
      <left/>
      <right style="thick">
        <color rgb="FFF3BD48"/>
      </right>
      <top style="thick">
        <color rgb="FFF3BD48"/>
      </top>
      <bottom/>
      <diagonal/>
    </border>
    <border>
      <left style="thick">
        <color rgb="FFF3BD48"/>
      </left>
      <right/>
      <top/>
      <bottom style="thick">
        <color rgb="FFF3BD48"/>
      </bottom>
      <diagonal/>
    </border>
    <border>
      <left/>
      <right/>
      <top/>
      <bottom style="thick">
        <color rgb="FFF3BD48"/>
      </bottom>
      <diagonal/>
    </border>
    <border>
      <left/>
      <right style="thick">
        <color rgb="FFF3BD48"/>
      </right>
      <top/>
      <bottom style="thick">
        <color rgb="FFF3BD48"/>
      </bottom>
      <diagonal/>
    </border>
    <border>
      <left/>
      <right/>
      <top/>
      <bottom style="thick">
        <color rgb="FF025C67"/>
      </bottom>
      <diagonal/>
    </border>
    <border>
      <left style="medium">
        <color rgb="FF025C67"/>
      </left>
      <right style="hair">
        <color rgb="FF025C67"/>
      </right>
      <top style="medium">
        <color rgb="FF025C67"/>
      </top>
      <bottom style="hair">
        <color rgb="FF025C67"/>
      </bottom>
      <diagonal/>
    </border>
    <border>
      <left style="hair">
        <color rgb="FF025C67"/>
      </left>
      <right style="medium">
        <color rgb="FF025C67"/>
      </right>
      <top style="medium">
        <color rgb="FF025C67"/>
      </top>
      <bottom style="hair">
        <color rgb="FF025C67"/>
      </bottom>
      <diagonal/>
    </border>
    <border>
      <left style="medium">
        <color rgb="FF025C67"/>
      </left>
      <right style="hair">
        <color rgb="FF025C67"/>
      </right>
      <top style="hair">
        <color rgb="FF025C67"/>
      </top>
      <bottom style="hair">
        <color rgb="FF025C67"/>
      </bottom>
      <diagonal/>
    </border>
    <border>
      <left style="hair">
        <color rgb="FF025C67"/>
      </left>
      <right style="medium">
        <color rgb="FF025C67"/>
      </right>
      <top style="hair">
        <color rgb="FF025C67"/>
      </top>
      <bottom style="hair">
        <color rgb="FF025C67"/>
      </bottom>
      <diagonal/>
    </border>
    <border>
      <left style="medium">
        <color rgb="FF025C67"/>
      </left>
      <right style="hair">
        <color rgb="FF025C67"/>
      </right>
      <top style="hair">
        <color rgb="FF025C67"/>
      </top>
      <bottom style="medium">
        <color rgb="FF025C67"/>
      </bottom>
      <diagonal/>
    </border>
    <border>
      <left style="hair">
        <color rgb="FF025C67"/>
      </left>
      <right style="hair">
        <color rgb="FF025C67"/>
      </right>
      <top style="hair">
        <color rgb="FF025C67"/>
      </top>
      <bottom style="medium">
        <color rgb="FF025C67"/>
      </bottom>
      <diagonal/>
    </border>
    <border>
      <left style="hair">
        <color rgb="FF025C67"/>
      </left>
      <right style="medium">
        <color rgb="FF025C67"/>
      </right>
      <top style="hair">
        <color rgb="FF025C67"/>
      </top>
      <bottom style="medium">
        <color rgb="FF025C67"/>
      </bottom>
      <diagonal/>
    </border>
    <border>
      <left style="medium">
        <color rgb="FF025C67"/>
      </left>
      <right style="hair">
        <color auto="1"/>
      </right>
      <top style="hair">
        <color auto="1"/>
      </top>
      <bottom style="hair">
        <color auto="1"/>
      </bottom>
      <diagonal/>
    </border>
    <border>
      <left style="hair">
        <color auto="1"/>
      </left>
      <right style="medium">
        <color rgb="FF025C67"/>
      </right>
      <top style="hair">
        <color auto="1"/>
      </top>
      <bottom style="hair">
        <color auto="1"/>
      </bottom>
      <diagonal/>
    </border>
    <border>
      <left style="medium">
        <color rgb="FF025C67"/>
      </left>
      <right style="hair">
        <color auto="1"/>
      </right>
      <top style="hair">
        <color auto="1"/>
      </top>
      <bottom style="medium">
        <color rgb="FF025C67"/>
      </bottom>
      <diagonal/>
    </border>
    <border>
      <left style="medium">
        <color rgb="FF025C67"/>
      </left>
      <right style="hair">
        <color rgb="FF025C67"/>
      </right>
      <top style="medium">
        <color rgb="FF025C67"/>
      </top>
      <bottom/>
      <diagonal/>
    </border>
    <border>
      <left style="hair">
        <color rgb="FF025C67"/>
      </left>
      <right style="hair">
        <color rgb="FF025C67"/>
      </right>
      <top style="medium">
        <color rgb="FF025C67"/>
      </top>
      <bottom/>
      <diagonal/>
    </border>
    <border>
      <left style="hair">
        <color rgb="FF025C67"/>
      </left>
      <right style="medium">
        <color rgb="FF025C67"/>
      </right>
      <top style="medium">
        <color rgb="FF025C67"/>
      </top>
      <bottom/>
      <diagonal/>
    </border>
    <border>
      <left style="medium">
        <color rgb="FF025C67"/>
      </left>
      <right style="hair">
        <color rgb="FF025C67"/>
      </right>
      <top style="hair">
        <color rgb="FF025C67"/>
      </top>
      <bottom/>
      <diagonal/>
    </border>
    <border>
      <left style="hair">
        <color rgb="FF025C67"/>
      </left>
      <right style="medium">
        <color rgb="FF025C67"/>
      </right>
      <top style="hair">
        <color rgb="FF025C67"/>
      </top>
      <bottom/>
      <diagonal/>
    </border>
    <border>
      <left style="medium">
        <color rgb="FF025C67"/>
      </left>
      <right/>
      <top style="medium">
        <color rgb="FF025C67"/>
      </top>
      <bottom style="medium">
        <color rgb="FF025C67"/>
      </bottom>
      <diagonal/>
    </border>
    <border>
      <left/>
      <right style="medium">
        <color rgb="FF025C67"/>
      </right>
      <top style="medium">
        <color rgb="FF025C67"/>
      </top>
      <bottom style="medium">
        <color rgb="FF025C67"/>
      </bottom>
      <diagonal/>
    </border>
    <border>
      <left style="medium">
        <color rgb="FF025C67"/>
      </left>
      <right style="hair">
        <color rgb="FF025C67"/>
      </right>
      <top/>
      <bottom style="hair">
        <color rgb="FF025C67"/>
      </bottom>
      <diagonal/>
    </border>
    <border>
      <left style="hair">
        <color rgb="FF025C67"/>
      </left>
      <right style="medium">
        <color rgb="FF025C67"/>
      </right>
      <top/>
      <bottom style="hair">
        <color rgb="FF025C67"/>
      </bottom>
      <diagonal/>
    </border>
    <border>
      <left style="medium">
        <color rgb="FF025C67"/>
      </left>
      <right/>
      <top style="medium">
        <color rgb="FF025C67"/>
      </top>
      <bottom/>
      <diagonal/>
    </border>
    <border>
      <left/>
      <right style="medium">
        <color rgb="FF025C67"/>
      </right>
      <top style="medium">
        <color rgb="FF025C67"/>
      </top>
      <bottom/>
      <diagonal/>
    </border>
    <border>
      <left style="medium">
        <color rgb="FF025C67"/>
      </left>
      <right style="hair">
        <color auto="1"/>
      </right>
      <top/>
      <bottom style="hair">
        <color auto="1"/>
      </bottom>
      <diagonal/>
    </border>
    <border>
      <left style="hair">
        <color auto="1"/>
      </left>
      <right style="medium">
        <color rgb="FF025C67"/>
      </right>
      <top/>
      <bottom style="hair">
        <color auto="1"/>
      </bottom>
      <diagonal/>
    </border>
    <border>
      <left style="medium">
        <color rgb="FF025C67"/>
      </left>
      <right style="hair">
        <color indexed="64"/>
      </right>
      <top style="hair">
        <color indexed="64"/>
      </top>
      <bottom/>
      <diagonal/>
    </border>
    <border>
      <left style="hair">
        <color auto="1"/>
      </left>
      <right style="medium">
        <color rgb="FF025C67"/>
      </right>
      <top style="hair">
        <color auto="1"/>
      </top>
      <bottom/>
      <diagonal/>
    </border>
    <border>
      <left style="medium">
        <color rgb="FFF3BD48"/>
      </left>
      <right/>
      <top style="medium">
        <color rgb="FFF3BD48"/>
      </top>
      <bottom style="medium">
        <color rgb="FFF3BD48"/>
      </bottom>
      <diagonal/>
    </border>
    <border>
      <left/>
      <right style="medium">
        <color rgb="FFF3BD48"/>
      </right>
      <top style="medium">
        <color rgb="FFF3BD48"/>
      </top>
      <bottom style="medium">
        <color rgb="FFF3BD48"/>
      </bottom>
      <diagonal/>
    </border>
    <border>
      <left/>
      <right/>
      <top style="medium">
        <color rgb="FF025C67"/>
      </top>
      <bottom style="medium">
        <color rgb="FF025C67"/>
      </bottom>
      <diagonal/>
    </border>
    <border>
      <left style="medium">
        <color rgb="FF025C67"/>
      </left>
      <right style="hair">
        <color rgb="FF025C67"/>
      </right>
      <top/>
      <bottom style="medium">
        <color rgb="FF025C67"/>
      </bottom>
      <diagonal/>
    </border>
    <border>
      <left style="medium">
        <color rgb="FF025C67"/>
      </left>
      <right style="hair">
        <color rgb="FF025C67"/>
      </right>
      <top style="medium">
        <color rgb="FF025C67"/>
      </top>
      <bottom style="medium">
        <color rgb="FF025C67"/>
      </bottom>
      <diagonal/>
    </border>
    <border>
      <left style="hair">
        <color rgb="FF025C67"/>
      </left>
      <right style="hair">
        <color rgb="FF025C67"/>
      </right>
      <top style="medium">
        <color rgb="FF025C67"/>
      </top>
      <bottom style="medium">
        <color rgb="FF025C67"/>
      </bottom>
      <diagonal/>
    </border>
    <border>
      <left style="hair">
        <color rgb="FF025C67"/>
      </left>
      <right style="medium">
        <color rgb="FF025C67"/>
      </right>
      <top style="medium">
        <color rgb="FF025C67"/>
      </top>
      <bottom style="medium">
        <color rgb="FF025C67"/>
      </bottom>
      <diagonal/>
    </border>
    <border>
      <left/>
      <right/>
      <top style="medium">
        <color rgb="FF025C67"/>
      </top>
      <bottom/>
      <diagonal/>
    </border>
    <border>
      <left/>
      <right/>
      <top/>
      <bottom style="medium">
        <color rgb="FF025C67"/>
      </bottom>
      <diagonal/>
    </border>
    <border>
      <left style="hair">
        <color auto="1"/>
      </left>
      <right style="medium">
        <color rgb="FF025C67"/>
      </right>
      <top style="medium">
        <color rgb="FF025C67"/>
      </top>
      <bottom style="medium">
        <color rgb="FF025C67"/>
      </bottom>
      <diagonal/>
    </border>
    <border>
      <left/>
      <right style="hair">
        <color rgb="FF025C67"/>
      </right>
      <top style="hair">
        <color rgb="FF025C67"/>
      </top>
      <bottom style="hair">
        <color rgb="FF025C67"/>
      </bottom>
      <diagonal/>
    </border>
    <border>
      <left style="thick">
        <color rgb="FFF3BD48"/>
      </left>
      <right/>
      <top style="thick">
        <color rgb="FFF3BD48"/>
      </top>
      <bottom style="thick">
        <color rgb="FFF3BD48"/>
      </bottom>
      <diagonal/>
    </border>
    <border>
      <left/>
      <right style="thick">
        <color rgb="FFF3BD48"/>
      </right>
      <top style="thick">
        <color rgb="FFF3BD48"/>
      </top>
      <bottom style="thick">
        <color rgb="FFF3BD48"/>
      </bottom>
      <diagonal/>
    </border>
    <border>
      <left style="medium">
        <color rgb="FF025C67"/>
      </left>
      <right/>
      <top/>
      <bottom/>
      <diagonal/>
    </border>
    <border>
      <left style="hair">
        <color rgb="FF025C67"/>
      </left>
      <right style="hair">
        <color rgb="FF025C67"/>
      </right>
      <top/>
      <bottom style="medium">
        <color rgb="FF025C67"/>
      </bottom>
      <diagonal/>
    </border>
    <border>
      <left style="hair">
        <color rgb="FF025C67"/>
      </left>
      <right style="medium">
        <color rgb="FF025C67"/>
      </right>
      <top/>
      <bottom style="medium">
        <color rgb="FF025C67"/>
      </bottom>
      <diagonal/>
    </border>
    <border>
      <left style="medium">
        <color rgb="FF025C67"/>
      </left>
      <right style="hair">
        <color auto="1"/>
      </right>
      <top style="medium">
        <color rgb="FF025C67"/>
      </top>
      <bottom/>
      <diagonal/>
    </border>
    <border>
      <left/>
      <right style="medium">
        <color rgb="FF025C67"/>
      </right>
      <top style="medium">
        <color rgb="FF025C67"/>
      </top>
      <bottom style="hair">
        <color indexed="64"/>
      </bottom>
      <diagonal/>
    </border>
    <border>
      <left/>
      <right style="medium">
        <color rgb="FF025C67"/>
      </right>
      <top style="hair">
        <color indexed="64"/>
      </top>
      <bottom style="hair">
        <color indexed="64"/>
      </bottom>
      <diagonal/>
    </border>
    <border>
      <left/>
      <right style="medium">
        <color rgb="FF025C67"/>
      </right>
      <top style="hair">
        <color indexed="64"/>
      </top>
      <bottom style="medium">
        <color rgb="FF025C67"/>
      </bottom>
      <diagonal/>
    </border>
    <border>
      <left style="medium">
        <color rgb="FF025C67"/>
      </left>
      <right style="medium">
        <color auto="1"/>
      </right>
      <top style="medium">
        <color rgb="FF025C67"/>
      </top>
      <bottom/>
      <diagonal/>
    </border>
    <border>
      <left style="medium">
        <color rgb="FF025C67"/>
      </left>
      <right style="medium">
        <color auto="1"/>
      </right>
      <top/>
      <bottom style="medium">
        <color rgb="FF025C67"/>
      </bottom>
      <diagonal/>
    </border>
    <border>
      <left style="medium">
        <color indexed="64"/>
      </left>
      <right style="hair">
        <color rgb="FF025C67"/>
      </right>
      <top style="medium">
        <color indexed="64"/>
      </top>
      <bottom style="hair">
        <color rgb="FF025C67"/>
      </bottom>
      <diagonal/>
    </border>
    <border>
      <left style="hair">
        <color rgb="FF025C67"/>
      </left>
      <right style="medium">
        <color indexed="64"/>
      </right>
      <top style="medium">
        <color indexed="64"/>
      </top>
      <bottom style="hair">
        <color rgb="FF025C67"/>
      </bottom>
      <diagonal/>
    </border>
    <border>
      <left style="medium">
        <color indexed="64"/>
      </left>
      <right style="hair">
        <color rgb="FF025C67"/>
      </right>
      <top style="hair">
        <color rgb="FF025C67"/>
      </top>
      <bottom style="hair">
        <color rgb="FF025C67"/>
      </bottom>
      <diagonal/>
    </border>
    <border>
      <left style="hair">
        <color rgb="FF025C67"/>
      </left>
      <right style="medium">
        <color indexed="64"/>
      </right>
      <top style="hair">
        <color rgb="FF025C67"/>
      </top>
      <bottom style="hair">
        <color rgb="FF025C67"/>
      </bottom>
      <diagonal/>
    </border>
    <border>
      <left style="medium">
        <color indexed="64"/>
      </left>
      <right style="hair">
        <color rgb="FF025C67"/>
      </right>
      <top style="hair">
        <color rgb="FF025C67"/>
      </top>
      <bottom style="medium">
        <color indexed="64"/>
      </bottom>
      <diagonal/>
    </border>
    <border>
      <left style="hair">
        <color rgb="FF025C67"/>
      </left>
      <right style="medium">
        <color indexed="64"/>
      </right>
      <top style="hair">
        <color rgb="FF025C67"/>
      </top>
      <bottom style="medium">
        <color indexed="64"/>
      </bottom>
      <diagonal/>
    </border>
    <border>
      <left style="hair">
        <color rgb="FF025C67"/>
      </left>
      <right style="hair">
        <color rgb="FF025C67"/>
      </right>
      <top style="medium">
        <color indexed="64"/>
      </top>
      <bottom style="hair">
        <color rgb="FF025C67"/>
      </bottom>
      <diagonal/>
    </border>
    <border>
      <left style="hair">
        <color rgb="FF025C67"/>
      </left>
      <right style="hair">
        <color rgb="FF025C67"/>
      </right>
      <top style="hair">
        <color rgb="FF025C67"/>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rgb="FF025C67"/>
      </right>
      <top style="medium">
        <color indexed="64"/>
      </top>
      <bottom style="hair">
        <color rgb="FF025C67"/>
      </bottom>
      <diagonal/>
    </border>
    <border>
      <left style="thick">
        <color rgb="FF025C67"/>
      </left>
      <right/>
      <top style="thick">
        <color rgb="FF025C67"/>
      </top>
      <bottom style="thick">
        <color theme="0" tint="-4.9989318521683403E-2"/>
      </bottom>
      <diagonal/>
    </border>
    <border>
      <left/>
      <right/>
      <top style="thick">
        <color rgb="FF025C67"/>
      </top>
      <bottom style="thick">
        <color theme="0" tint="-4.9989318521683403E-2"/>
      </bottom>
      <diagonal/>
    </border>
    <border>
      <left/>
      <right style="thick">
        <color rgb="FF025C67"/>
      </right>
      <top style="thick">
        <color rgb="FF025C67"/>
      </top>
      <bottom style="thick">
        <color theme="0" tint="-4.9989318521683403E-2"/>
      </bottom>
      <diagonal/>
    </border>
    <border>
      <left style="thick">
        <color rgb="FF025C67"/>
      </left>
      <right/>
      <top style="thick">
        <color theme="0" tint="-4.9989318521683403E-2"/>
      </top>
      <bottom style="thick">
        <color rgb="FF025C67"/>
      </bottom>
      <diagonal/>
    </border>
    <border>
      <left/>
      <right/>
      <top style="thick">
        <color theme="0" tint="-4.9989318521683403E-2"/>
      </top>
      <bottom style="thick">
        <color rgb="FF025C67"/>
      </bottom>
      <diagonal/>
    </border>
    <border>
      <left/>
      <right style="thick">
        <color rgb="FF025C67"/>
      </right>
      <top style="thick">
        <color theme="0" tint="-4.9989318521683403E-2"/>
      </top>
      <bottom style="thick">
        <color rgb="FF025C67"/>
      </bottom>
      <diagonal/>
    </border>
    <border>
      <left style="thick">
        <color rgb="FF025C67"/>
      </left>
      <right style="thin">
        <color theme="0" tint="-4.9989318521683403E-2"/>
      </right>
      <top style="thick">
        <color rgb="FF025C67"/>
      </top>
      <bottom style="thin">
        <color theme="0" tint="-4.9989318521683403E-2"/>
      </bottom>
      <diagonal/>
    </border>
    <border>
      <left style="thin">
        <color theme="0" tint="-4.9989318521683403E-2"/>
      </left>
      <right style="thick">
        <color rgb="FF025C67"/>
      </right>
      <top style="thick">
        <color rgb="FF025C67"/>
      </top>
      <bottom style="thin">
        <color theme="0" tint="-4.9989318521683403E-2"/>
      </bottom>
      <diagonal/>
    </border>
    <border>
      <left style="thick">
        <color rgb="FF025C67"/>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ck">
        <color rgb="FF025C67"/>
      </right>
      <top style="thin">
        <color theme="0" tint="-4.9989318521683403E-2"/>
      </top>
      <bottom style="thin">
        <color theme="0" tint="-4.9989318521683403E-2"/>
      </bottom>
      <diagonal/>
    </border>
    <border>
      <left style="thick">
        <color rgb="FF025C67"/>
      </left>
      <right style="thin">
        <color theme="0" tint="-4.9989318521683403E-2"/>
      </right>
      <top style="thin">
        <color theme="0" tint="-4.9989318521683403E-2"/>
      </top>
      <bottom style="thick">
        <color rgb="FF025C67"/>
      </bottom>
      <diagonal/>
    </border>
    <border>
      <left style="thin">
        <color theme="0" tint="-4.9989318521683403E-2"/>
      </left>
      <right style="thick">
        <color rgb="FF025C67"/>
      </right>
      <top style="thin">
        <color theme="0" tint="-4.9989318521683403E-2"/>
      </top>
      <bottom style="thick">
        <color rgb="FF025C67"/>
      </bottom>
      <diagonal/>
    </border>
    <border>
      <left style="thin">
        <color theme="0" tint="-4.9989318521683403E-2"/>
      </left>
      <right style="thin">
        <color theme="0" tint="-4.9989318521683403E-2"/>
      </right>
      <top/>
      <bottom/>
      <diagonal/>
    </border>
    <border>
      <left style="thick">
        <color rgb="FF025C67"/>
      </left>
      <right/>
      <top style="thick">
        <color rgb="FF025C67"/>
      </top>
      <bottom style="thin">
        <color theme="0" tint="-4.9989318521683403E-2"/>
      </bottom>
      <diagonal/>
    </border>
    <border>
      <left/>
      <right style="thick">
        <color rgb="FF025C67"/>
      </right>
      <top style="thick">
        <color rgb="FF025C67"/>
      </top>
      <bottom style="thin">
        <color theme="0" tint="-4.9989318521683403E-2"/>
      </bottom>
      <diagonal/>
    </border>
    <border>
      <left style="thick">
        <color rgb="FF025C67"/>
      </left>
      <right/>
      <top style="thin">
        <color theme="0" tint="-4.9989318521683403E-2"/>
      </top>
      <bottom style="thick">
        <color rgb="FF025C67"/>
      </bottom>
      <diagonal/>
    </border>
    <border>
      <left/>
      <right style="thick">
        <color rgb="FF025C67"/>
      </right>
      <top style="thin">
        <color theme="0" tint="-4.9989318521683403E-2"/>
      </top>
      <bottom style="thick">
        <color rgb="FF025C67"/>
      </bottom>
      <diagonal/>
    </border>
    <border>
      <left style="medium">
        <color rgb="FF025C67"/>
      </left>
      <right style="thin">
        <color theme="0" tint="-4.9989318521683403E-2"/>
      </right>
      <top style="medium">
        <color rgb="FF025C67"/>
      </top>
      <bottom style="thin">
        <color theme="0" tint="-4.9989318521683403E-2"/>
      </bottom>
      <diagonal/>
    </border>
    <border>
      <left style="thin">
        <color theme="0" tint="-4.9989318521683403E-2"/>
      </left>
      <right style="thin">
        <color theme="0" tint="-4.9989318521683403E-2"/>
      </right>
      <top style="medium">
        <color rgb="FF025C67"/>
      </top>
      <bottom style="thin">
        <color theme="0" tint="-4.9989318521683403E-2"/>
      </bottom>
      <diagonal/>
    </border>
    <border>
      <left style="thin">
        <color theme="0" tint="-4.9989318521683403E-2"/>
      </left>
      <right style="medium">
        <color rgb="FF025C67"/>
      </right>
      <top style="medium">
        <color rgb="FF025C67"/>
      </top>
      <bottom style="thin">
        <color theme="0" tint="-4.9989318521683403E-2"/>
      </bottom>
      <diagonal/>
    </border>
    <border>
      <left style="medium">
        <color rgb="FF025C67"/>
      </left>
      <right style="thin">
        <color theme="0" tint="-4.9989318521683403E-2"/>
      </right>
      <top style="thin">
        <color theme="0" tint="-4.9989318521683403E-2"/>
      </top>
      <bottom style="medium">
        <color rgb="FF025C67"/>
      </bottom>
      <diagonal/>
    </border>
    <border>
      <left style="thin">
        <color theme="0" tint="-4.9989318521683403E-2"/>
      </left>
      <right style="thin">
        <color theme="0" tint="-4.9989318521683403E-2"/>
      </right>
      <top style="thin">
        <color theme="0" tint="-4.9989318521683403E-2"/>
      </top>
      <bottom style="medium">
        <color rgb="FF025C67"/>
      </bottom>
      <diagonal/>
    </border>
    <border>
      <left style="thin">
        <color theme="0" tint="-4.9989318521683403E-2"/>
      </left>
      <right style="medium">
        <color rgb="FF025C67"/>
      </right>
      <top style="thin">
        <color theme="0" tint="-4.9989318521683403E-2"/>
      </top>
      <bottom style="medium">
        <color rgb="FF025C67"/>
      </bottom>
      <diagonal/>
    </border>
    <border>
      <left style="medium">
        <color rgb="FF025C67"/>
      </left>
      <right style="thin">
        <color theme="0" tint="-4.9989318521683403E-2"/>
      </right>
      <top style="thin">
        <color theme="0" tint="-4.9989318521683403E-2"/>
      </top>
      <bottom style="thin">
        <color theme="0" tint="-4.9989318521683403E-2"/>
      </bottom>
      <diagonal/>
    </border>
    <border>
      <left style="thin">
        <color theme="0" tint="-4.9989318521683403E-2"/>
      </left>
      <right style="medium">
        <color rgb="FF025C67"/>
      </right>
      <top style="thin">
        <color theme="0" tint="-4.9989318521683403E-2"/>
      </top>
      <bottom style="thin">
        <color theme="0" tint="-4.9989318521683403E-2"/>
      </bottom>
      <diagonal/>
    </border>
    <border>
      <left style="medium">
        <color rgb="FF025C67"/>
      </left>
      <right style="thin">
        <color theme="0" tint="-4.9989318521683403E-2"/>
      </right>
      <top style="medium">
        <color rgb="FF025C67"/>
      </top>
      <bottom/>
      <diagonal/>
    </border>
    <border>
      <left style="thin">
        <color theme="0" tint="-4.9989318521683403E-2"/>
      </left>
      <right style="thin">
        <color theme="0" tint="-4.9989318521683403E-2"/>
      </right>
      <top style="medium">
        <color rgb="FF025C67"/>
      </top>
      <bottom/>
      <diagonal/>
    </border>
    <border>
      <left style="thin">
        <color theme="0" tint="-4.9989318521683403E-2"/>
      </left>
      <right style="medium">
        <color rgb="FF025C67"/>
      </right>
      <top style="medium">
        <color rgb="FF025C67"/>
      </top>
      <bottom/>
      <diagonal/>
    </border>
    <border>
      <left style="medium">
        <color rgb="FF025C67"/>
      </left>
      <right/>
      <top style="thin">
        <color theme="0" tint="-4.9989318521683403E-2"/>
      </top>
      <bottom style="medium">
        <color rgb="FF025C67"/>
      </bottom>
      <diagonal/>
    </border>
    <border>
      <left/>
      <right style="thin">
        <color theme="0" tint="-4.9989318521683403E-2"/>
      </right>
      <top style="thin">
        <color theme="0" tint="-4.9989318521683403E-2"/>
      </top>
      <bottom style="medium">
        <color rgb="FF025C67"/>
      </bottom>
      <diagonal/>
    </border>
    <border>
      <left style="thin">
        <color theme="0" tint="-4.9989318521683403E-2"/>
      </left>
      <right/>
      <top style="thin">
        <color theme="0" tint="-4.9989318521683403E-2"/>
      </top>
      <bottom style="medium">
        <color rgb="FF025C67"/>
      </bottom>
      <diagonal/>
    </border>
    <border>
      <left style="medium">
        <color rgb="FF025C67"/>
      </left>
      <right style="thin">
        <color theme="0" tint="-4.9989318521683403E-2"/>
      </right>
      <top/>
      <bottom/>
      <diagonal/>
    </border>
    <border>
      <left style="thin">
        <color theme="0" tint="-4.9989318521683403E-2"/>
      </left>
      <right style="medium">
        <color rgb="FF025C67"/>
      </right>
      <top/>
      <bottom/>
      <diagonal/>
    </border>
    <border>
      <left style="thick">
        <color rgb="FF025C67"/>
      </left>
      <right style="thin">
        <color theme="0" tint="-4.9989318521683403E-2"/>
      </right>
      <top/>
      <bottom style="thick">
        <color rgb="FF025C67"/>
      </bottom>
      <diagonal/>
    </border>
    <border>
      <left style="thick">
        <color rgb="FF025C67"/>
      </left>
      <right style="thin">
        <color theme="0" tint="-4.9989318521683403E-2"/>
      </right>
      <top style="thin">
        <color theme="0" tint="-4.9989318521683403E-2"/>
      </top>
      <bottom/>
      <diagonal/>
    </border>
    <border>
      <left style="thin">
        <color theme="0" tint="-4.9989318521683403E-2"/>
      </left>
      <right style="thick">
        <color rgb="FF025C67"/>
      </right>
      <top style="thin">
        <color theme="0" tint="-4.9989318521683403E-2"/>
      </top>
      <bottom/>
      <diagonal/>
    </border>
    <border>
      <left style="thin">
        <color theme="0" tint="-4.9989318521683403E-2"/>
      </left>
      <right style="thick">
        <color rgb="FF025C67"/>
      </right>
      <top/>
      <bottom style="thick">
        <color rgb="FF025C67"/>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ck">
        <color rgb="FF025C67"/>
      </left>
      <right/>
      <top/>
      <bottom/>
      <diagonal/>
    </border>
    <border>
      <left/>
      <right style="thick">
        <color rgb="FF025C67"/>
      </right>
      <top/>
      <bottom/>
      <diagonal/>
    </border>
    <border>
      <left style="thick">
        <color rgb="FF025C67"/>
      </left>
      <right/>
      <top style="thin">
        <color theme="0" tint="-4.9989318521683403E-2"/>
      </top>
      <bottom/>
      <diagonal/>
    </border>
    <border>
      <left/>
      <right style="thick">
        <color rgb="FF025C67"/>
      </right>
      <top style="thin">
        <color theme="0" tint="-4.9989318521683403E-2"/>
      </top>
      <bottom/>
      <diagonal/>
    </border>
    <border>
      <left style="hair">
        <color rgb="FF025C67"/>
      </left>
      <right/>
      <top/>
      <bottom style="medium">
        <color rgb="FF025C67"/>
      </bottom>
      <diagonal/>
    </border>
    <border>
      <left/>
      <right/>
      <top style="thick">
        <color rgb="FF025C67"/>
      </top>
      <bottom style="thick">
        <color rgb="FF025C67"/>
      </bottom>
      <diagonal/>
    </border>
    <border>
      <left style="thin">
        <color indexed="64"/>
      </left>
      <right/>
      <top/>
      <bottom style="thin">
        <color indexed="64"/>
      </bottom>
      <diagonal/>
    </border>
    <border>
      <left/>
      <right style="thin">
        <color indexed="64"/>
      </right>
      <top/>
      <bottom style="thin">
        <color indexed="64"/>
      </bottom>
      <diagonal/>
    </border>
    <border>
      <left style="medium">
        <color rgb="FF025C67"/>
      </left>
      <right/>
      <top/>
      <bottom style="medium">
        <color rgb="FF025C67"/>
      </bottom>
      <diagonal/>
    </border>
    <border>
      <left style="hair">
        <color rgb="FF025C67"/>
      </left>
      <right style="medium">
        <color rgb="FF025C67"/>
      </right>
      <top/>
      <bottom/>
      <diagonal/>
    </border>
    <border>
      <left/>
      <right style="medium">
        <color rgb="FF025C67"/>
      </right>
      <top/>
      <bottom style="medium">
        <color rgb="FF025C67"/>
      </bottom>
      <diagonal/>
    </border>
    <border>
      <left style="hair">
        <color rgb="FF025C67"/>
      </left>
      <right/>
      <top style="medium">
        <color rgb="FF025C67"/>
      </top>
      <bottom style="medium">
        <color rgb="FF025C67"/>
      </bottom>
      <diagonal/>
    </border>
    <border>
      <left style="medium">
        <color rgb="FF30665E"/>
      </left>
      <right/>
      <top style="medium">
        <color rgb="FF30665E"/>
      </top>
      <bottom/>
      <diagonal/>
    </border>
    <border>
      <left style="medium">
        <color rgb="FF30665E"/>
      </left>
      <right/>
      <top/>
      <bottom/>
      <diagonal/>
    </border>
    <border>
      <left style="medium">
        <color rgb="FF30665E"/>
      </left>
      <right/>
      <top/>
      <bottom style="medium">
        <color rgb="FF30665E"/>
      </bottom>
      <diagonal/>
    </border>
    <border>
      <left style="medium">
        <color rgb="FF30665E"/>
      </left>
      <right style="hair">
        <color rgb="FF30665E"/>
      </right>
      <top style="medium">
        <color rgb="FF30665E"/>
      </top>
      <bottom/>
      <diagonal/>
    </border>
    <border>
      <left style="hair">
        <color rgb="FF30665E"/>
      </left>
      <right style="hair">
        <color rgb="FF30665E"/>
      </right>
      <top style="medium">
        <color rgb="FF30665E"/>
      </top>
      <bottom/>
      <diagonal/>
    </border>
    <border>
      <left style="hair">
        <color rgb="FF30665E"/>
      </left>
      <right style="medium">
        <color rgb="FF30665E"/>
      </right>
      <top style="medium">
        <color rgb="FF30665E"/>
      </top>
      <bottom/>
      <diagonal/>
    </border>
    <border>
      <left style="medium">
        <color rgb="FF30665E"/>
      </left>
      <right style="hair">
        <color rgb="FF30665E"/>
      </right>
      <top/>
      <bottom/>
      <diagonal/>
    </border>
    <border>
      <left style="hair">
        <color rgb="FF30665E"/>
      </left>
      <right style="hair">
        <color rgb="FF30665E"/>
      </right>
      <top/>
      <bottom/>
      <diagonal/>
    </border>
    <border>
      <left style="hair">
        <color rgb="FF30665E"/>
      </left>
      <right style="medium">
        <color rgb="FF30665E"/>
      </right>
      <top/>
      <bottom/>
      <diagonal/>
    </border>
    <border>
      <left style="medium">
        <color rgb="FF30665E"/>
      </left>
      <right style="hair">
        <color rgb="FF30665E"/>
      </right>
      <top/>
      <bottom style="medium">
        <color rgb="FF30665E"/>
      </bottom>
      <diagonal/>
    </border>
    <border>
      <left style="hair">
        <color rgb="FF30665E"/>
      </left>
      <right style="hair">
        <color rgb="FF30665E"/>
      </right>
      <top/>
      <bottom style="medium">
        <color rgb="FF30665E"/>
      </bottom>
      <diagonal/>
    </border>
    <border>
      <left style="hair">
        <color rgb="FF30665E"/>
      </left>
      <right style="medium">
        <color rgb="FF30665E"/>
      </right>
      <top/>
      <bottom style="medium">
        <color rgb="FF30665E"/>
      </bottom>
      <diagonal/>
    </border>
    <border>
      <left style="thick">
        <color rgb="FF025C67"/>
      </left>
      <right style="thick">
        <color rgb="FF025C67"/>
      </right>
      <top style="thick">
        <color rgb="FF025C67"/>
      </top>
      <bottom style="thick">
        <color rgb="FF025C67"/>
      </bottom>
      <diagonal/>
    </border>
    <border>
      <left style="medium">
        <color rgb="FF025C67"/>
      </left>
      <right/>
      <top style="hair">
        <color rgb="FF025C67"/>
      </top>
      <bottom style="hair">
        <color rgb="FF025C67"/>
      </bottom>
      <diagonal/>
    </border>
    <border>
      <left/>
      <right/>
      <top style="hair">
        <color rgb="FF025C67"/>
      </top>
      <bottom style="hair">
        <color rgb="FF025C67"/>
      </bottom>
      <diagonal/>
    </border>
    <border>
      <left style="hair">
        <color rgb="FF025C67"/>
      </left>
      <right/>
      <top style="hair">
        <color rgb="FF025C67"/>
      </top>
      <bottom style="hair">
        <color rgb="FF025C67"/>
      </bottom>
      <diagonal/>
    </border>
    <border>
      <left/>
      <right style="medium">
        <color rgb="FF025C67"/>
      </right>
      <top style="hair">
        <color rgb="FF025C67"/>
      </top>
      <bottom style="hair">
        <color rgb="FF025C67"/>
      </bottom>
      <diagonal/>
    </border>
    <border>
      <left style="hair">
        <color rgb="FF30665E"/>
      </left>
      <right/>
      <top style="medium">
        <color rgb="FF30665E"/>
      </top>
      <bottom/>
      <diagonal/>
    </border>
    <border>
      <left style="hair">
        <color rgb="FF30665E"/>
      </left>
      <right/>
      <top/>
      <bottom/>
      <diagonal/>
    </border>
    <border>
      <left style="hair">
        <color rgb="FF30665E"/>
      </left>
      <right/>
      <top/>
      <bottom style="medium">
        <color rgb="FF30665E"/>
      </bottom>
      <diagonal/>
    </border>
    <border>
      <left style="medium">
        <color rgb="FF025C67"/>
      </left>
      <right style="thin">
        <color theme="0" tint="-4.9989318521683403E-2"/>
      </right>
      <top style="medium">
        <color rgb="FF025C67"/>
      </top>
      <bottom style="hair">
        <color rgb="FF025C67"/>
      </bottom>
      <diagonal/>
    </border>
    <border>
      <left style="thin">
        <color theme="0" tint="-4.9989318521683403E-2"/>
      </left>
      <right style="thin">
        <color theme="0" tint="-4.9989318521683403E-2"/>
      </right>
      <top style="medium">
        <color rgb="FF025C67"/>
      </top>
      <bottom style="hair">
        <color rgb="FF025C67"/>
      </bottom>
      <diagonal/>
    </border>
    <border>
      <left style="thin">
        <color theme="0" tint="-4.9989318521683403E-2"/>
      </left>
      <right/>
      <top style="medium">
        <color rgb="FF025C67"/>
      </top>
      <bottom style="hair">
        <color rgb="FF025C67"/>
      </bottom>
      <diagonal/>
    </border>
    <border>
      <left style="medium">
        <color rgb="FF025C67"/>
      </left>
      <right style="thin">
        <color theme="0" tint="-4.9989318521683403E-2"/>
      </right>
      <top style="hair">
        <color rgb="FF025C67"/>
      </top>
      <bottom style="hair">
        <color rgb="FF025C67"/>
      </bottom>
      <diagonal/>
    </border>
    <border>
      <left style="thin">
        <color theme="0" tint="-4.9989318521683403E-2"/>
      </left>
      <right style="thin">
        <color theme="0" tint="-4.9989318521683403E-2"/>
      </right>
      <top style="hair">
        <color rgb="FF025C67"/>
      </top>
      <bottom style="hair">
        <color rgb="FF025C67"/>
      </bottom>
      <diagonal/>
    </border>
    <border>
      <left style="thin">
        <color theme="0" tint="-4.9989318521683403E-2"/>
      </left>
      <right/>
      <top style="hair">
        <color rgb="FF025C67"/>
      </top>
      <bottom style="hair">
        <color rgb="FF025C67"/>
      </bottom>
      <diagonal/>
    </border>
    <border>
      <left style="medium">
        <color rgb="FF025C67"/>
      </left>
      <right style="thin">
        <color theme="0" tint="-4.9989318521683403E-2"/>
      </right>
      <top style="hair">
        <color rgb="FF025C67"/>
      </top>
      <bottom style="medium">
        <color rgb="FF025C67"/>
      </bottom>
      <diagonal/>
    </border>
    <border>
      <left style="thin">
        <color theme="0" tint="-4.9989318521683403E-2"/>
      </left>
      <right style="thin">
        <color theme="0" tint="-4.9989318521683403E-2"/>
      </right>
      <top style="hair">
        <color rgb="FF025C67"/>
      </top>
      <bottom style="medium">
        <color rgb="FF025C67"/>
      </bottom>
      <diagonal/>
    </border>
    <border>
      <left style="thin">
        <color theme="0" tint="-4.9989318521683403E-2"/>
      </left>
      <right/>
      <top style="hair">
        <color rgb="FF025C67"/>
      </top>
      <bottom style="medium">
        <color rgb="FF025C67"/>
      </bottom>
      <diagonal/>
    </border>
    <border>
      <left style="thick">
        <color rgb="FF025C67"/>
      </left>
      <right/>
      <top style="thick">
        <color rgb="FF025C67"/>
      </top>
      <bottom style="hair">
        <color rgb="FF025C67"/>
      </bottom>
      <diagonal/>
    </border>
    <border>
      <left/>
      <right style="thick">
        <color rgb="FF025C67"/>
      </right>
      <top style="thick">
        <color rgb="FF025C67"/>
      </top>
      <bottom style="hair">
        <color rgb="FF025C67"/>
      </bottom>
      <diagonal/>
    </border>
    <border>
      <left style="thick">
        <color rgb="FF025C67"/>
      </left>
      <right/>
      <top style="hair">
        <color rgb="FF025C67"/>
      </top>
      <bottom style="hair">
        <color rgb="FF025C67"/>
      </bottom>
      <diagonal/>
    </border>
    <border>
      <left/>
      <right style="thick">
        <color rgb="FF025C67"/>
      </right>
      <top style="hair">
        <color rgb="FF025C67"/>
      </top>
      <bottom style="hair">
        <color rgb="FF025C67"/>
      </bottom>
      <diagonal/>
    </border>
    <border>
      <left style="thick">
        <color rgb="FF025C67"/>
      </left>
      <right/>
      <top style="hair">
        <color rgb="FF025C67"/>
      </top>
      <bottom style="thick">
        <color rgb="FF025C67"/>
      </bottom>
      <diagonal/>
    </border>
    <border>
      <left/>
      <right style="thick">
        <color rgb="FF025C67"/>
      </right>
      <top style="hair">
        <color rgb="FF025C67"/>
      </top>
      <bottom style="thick">
        <color rgb="FF025C67"/>
      </bottom>
      <diagonal/>
    </border>
    <border>
      <left style="hair">
        <color rgb="FF025C67"/>
      </left>
      <right style="hair">
        <color rgb="FF025C67"/>
      </right>
      <top/>
      <bottom/>
      <diagonal/>
    </border>
    <border>
      <left style="thin">
        <color rgb="FF025C67"/>
      </left>
      <right/>
      <top style="thin">
        <color rgb="FF025C67"/>
      </top>
      <bottom style="thin">
        <color rgb="FF025C67"/>
      </bottom>
      <diagonal/>
    </border>
    <border>
      <left/>
      <right/>
      <top style="thin">
        <color rgb="FF025C67"/>
      </top>
      <bottom style="thin">
        <color rgb="FF025C67"/>
      </bottom>
      <diagonal/>
    </border>
    <border>
      <left style="hair">
        <color rgb="FF025C67"/>
      </left>
      <right/>
      <top/>
      <bottom/>
      <diagonal/>
    </border>
    <border>
      <left/>
      <right style="hair">
        <color rgb="FF025C67"/>
      </right>
      <top/>
      <bottom/>
      <diagonal/>
    </border>
    <border>
      <left style="hair">
        <color rgb="FF025C67"/>
      </left>
      <right style="hair">
        <color rgb="FF025C67"/>
      </right>
      <top style="thin">
        <color rgb="FF025C67"/>
      </top>
      <bottom/>
      <diagonal/>
    </border>
    <border>
      <left style="hair">
        <color rgb="FF025C67"/>
      </left>
      <right style="thin">
        <color rgb="FF025C67"/>
      </right>
      <top style="thin">
        <color rgb="FF025C67"/>
      </top>
      <bottom/>
      <diagonal/>
    </border>
    <border>
      <left style="hair">
        <color rgb="FF025C67"/>
      </left>
      <right style="thin">
        <color rgb="FF025C67"/>
      </right>
      <top/>
      <bottom/>
      <diagonal/>
    </border>
    <border>
      <left style="hair">
        <color rgb="FF025C67"/>
      </left>
      <right style="hair">
        <color rgb="FF025C67"/>
      </right>
      <top/>
      <bottom style="thin">
        <color rgb="FF025C67"/>
      </bottom>
      <diagonal/>
    </border>
    <border>
      <left style="hair">
        <color rgb="FF025C67"/>
      </left>
      <right style="thin">
        <color rgb="FF025C67"/>
      </right>
      <top/>
      <bottom style="thin">
        <color rgb="FF025C67"/>
      </bottom>
      <diagonal/>
    </border>
    <border>
      <left style="thin">
        <color rgb="FF025C67"/>
      </left>
      <right style="hair">
        <color rgb="FF025C67"/>
      </right>
      <top/>
      <bottom style="thin">
        <color rgb="FF025C67"/>
      </bottom>
      <diagonal/>
    </border>
    <border>
      <left style="thin">
        <color rgb="FF025C67"/>
      </left>
      <right style="hair">
        <color rgb="FF025C67"/>
      </right>
      <top style="thin">
        <color rgb="FF025C67"/>
      </top>
      <bottom/>
      <diagonal/>
    </border>
    <border>
      <left/>
      <right/>
      <top/>
      <bottom style="thin">
        <color rgb="FF025C67"/>
      </bottom>
      <diagonal/>
    </border>
    <border>
      <left/>
      <right style="hair">
        <color rgb="FF025C67"/>
      </right>
      <top/>
      <bottom style="thin">
        <color rgb="FF025C67"/>
      </bottom>
      <diagonal/>
    </border>
    <border>
      <left style="hair">
        <color rgb="FF025C67"/>
      </left>
      <right/>
      <top style="thin">
        <color rgb="FF025C67"/>
      </top>
      <bottom/>
      <diagonal/>
    </border>
    <border>
      <left style="hair">
        <color rgb="FF025C67"/>
      </left>
      <right/>
      <top/>
      <bottom style="thin">
        <color rgb="FF025C67"/>
      </bottom>
      <diagonal/>
    </border>
    <border>
      <left/>
      <right/>
      <top style="thin">
        <color rgb="FF025C67"/>
      </top>
      <bottom/>
      <diagonal/>
    </border>
    <border>
      <left style="thin">
        <color rgb="FF025C67"/>
      </left>
      <right/>
      <top style="thin">
        <color rgb="FF025C67"/>
      </top>
      <bottom/>
      <diagonal/>
    </border>
    <border>
      <left/>
      <right style="thin">
        <color rgb="FF025C67"/>
      </right>
      <top style="thin">
        <color rgb="FF025C67"/>
      </top>
      <bottom/>
      <diagonal/>
    </border>
    <border>
      <left style="thin">
        <color rgb="FF025C67"/>
      </left>
      <right/>
      <top/>
      <bottom/>
      <diagonal/>
    </border>
    <border>
      <left/>
      <right style="thin">
        <color rgb="FF025C67"/>
      </right>
      <top/>
      <bottom/>
      <diagonal/>
    </border>
    <border>
      <left style="thin">
        <color rgb="FF025C67"/>
      </left>
      <right/>
      <top/>
      <bottom style="thin">
        <color rgb="FF025C67"/>
      </bottom>
      <diagonal/>
    </border>
    <border>
      <left/>
      <right style="thin">
        <color rgb="FF025C67"/>
      </right>
      <top/>
      <bottom style="thin">
        <color rgb="FF025C67"/>
      </bottom>
      <diagonal/>
    </border>
    <border>
      <left/>
      <right style="hair">
        <color rgb="FF025C67"/>
      </right>
      <top style="thin">
        <color rgb="FF025C67"/>
      </top>
      <bottom/>
      <diagonal/>
    </border>
    <border>
      <left style="thin">
        <color rgb="FF025C67"/>
      </left>
      <right style="thin">
        <color rgb="FF025C67"/>
      </right>
      <top style="thin">
        <color rgb="FF025C67"/>
      </top>
      <bottom/>
      <diagonal/>
    </border>
    <border>
      <left style="thin">
        <color rgb="FF025C67"/>
      </left>
      <right style="thin">
        <color rgb="FF025C67"/>
      </right>
      <top/>
      <bottom style="thin">
        <color rgb="FF025C67"/>
      </bottom>
      <diagonal/>
    </border>
    <border>
      <left style="thin">
        <color rgb="FF025C67"/>
      </left>
      <right style="hair">
        <color rgb="FF025C67"/>
      </right>
      <top style="thin">
        <color rgb="FF025C67"/>
      </top>
      <bottom style="hair">
        <color rgb="FF025C67"/>
      </bottom>
      <diagonal/>
    </border>
    <border>
      <left style="hair">
        <color rgb="FF025C67"/>
      </left>
      <right style="hair">
        <color rgb="FF025C67"/>
      </right>
      <top style="thin">
        <color rgb="FF025C67"/>
      </top>
      <bottom style="hair">
        <color rgb="FF025C67"/>
      </bottom>
      <diagonal/>
    </border>
    <border>
      <left style="hair">
        <color rgb="FF025C67"/>
      </left>
      <right style="thin">
        <color rgb="FF025C67"/>
      </right>
      <top style="thin">
        <color rgb="FF025C67"/>
      </top>
      <bottom style="hair">
        <color rgb="FF025C67"/>
      </bottom>
      <diagonal/>
    </border>
    <border>
      <left style="thin">
        <color rgb="FF025C67"/>
      </left>
      <right style="hair">
        <color rgb="FF025C67"/>
      </right>
      <top style="hair">
        <color rgb="FF025C67"/>
      </top>
      <bottom style="hair">
        <color rgb="FF025C67"/>
      </bottom>
      <diagonal/>
    </border>
    <border>
      <left style="hair">
        <color rgb="FF025C67"/>
      </left>
      <right style="thin">
        <color rgb="FF025C67"/>
      </right>
      <top style="hair">
        <color rgb="FF025C67"/>
      </top>
      <bottom style="hair">
        <color rgb="FF025C67"/>
      </bottom>
      <diagonal/>
    </border>
    <border>
      <left style="thin">
        <color rgb="FF025C67"/>
      </left>
      <right style="hair">
        <color rgb="FF025C67"/>
      </right>
      <top style="hair">
        <color rgb="FF025C67"/>
      </top>
      <bottom style="thin">
        <color rgb="FF025C67"/>
      </bottom>
      <diagonal/>
    </border>
    <border>
      <left style="hair">
        <color rgb="FF025C67"/>
      </left>
      <right style="hair">
        <color rgb="FF025C67"/>
      </right>
      <top style="hair">
        <color rgb="FF025C67"/>
      </top>
      <bottom style="thin">
        <color rgb="FF025C67"/>
      </bottom>
      <diagonal/>
    </border>
    <border>
      <left style="hair">
        <color rgb="FF025C67"/>
      </left>
      <right style="thin">
        <color rgb="FF025C67"/>
      </right>
      <top style="hair">
        <color rgb="FF025C67"/>
      </top>
      <bottom style="thin">
        <color rgb="FF025C67"/>
      </bottom>
      <diagonal/>
    </border>
    <border>
      <left style="hair">
        <color rgb="FF025C67"/>
      </left>
      <right style="hair">
        <color rgb="FF025C67"/>
      </right>
      <top/>
      <bottom style="hair">
        <color rgb="FF025C67"/>
      </bottom>
      <diagonal/>
    </border>
    <border>
      <left style="hair">
        <color rgb="FF025C67"/>
      </left>
      <right/>
      <top style="hair">
        <color rgb="FF025C67"/>
      </top>
      <bottom style="thin">
        <color rgb="FF025C67"/>
      </bottom>
      <diagonal/>
    </border>
    <border>
      <left style="thin">
        <color rgb="FF025C67"/>
      </left>
      <right/>
      <top style="thin">
        <color rgb="FF025C67"/>
      </top>
      <bottom style="hair">
        <color rgb="FF025C67"/>
      </bottom>
      <diagonal/>
    </border>
    <border>
      <left/>
      <right/>
      <top style="thin">
        <color rgb="FF025C67"/>
      </top>
      <bottom style="hair">
        <color rgb="FF025C67"/>
      </bottom>
      <diagonal/>
    </border>
    <border>
      <left/>
      <right style="hair">
        <color rgb="FF025C67"/>
      </right>
      <top style="thin">
        <color rgb="FF025C67"/>
      </top>
      <bottom style="thin">
        <color rgb="FF025C67"/>
      </bottom>
      <diagonal/>
    </border>
    <border>
      <left style="hair">
        <color rgb="FF025C67"/>
      </left>
      <right/>
      <top style="thin">
        <color rgb="FF025C67"/>
      </top>
      <bottom style="thin">
        <color rgb="FF025C67"/>
      </bottom>
      <diagonal/>
    </border>
    <border>
      <left/>
      <right style="thin">
        <color rgb="FF025C67"/>
      </right>
      <top style="thin">
        <color rgb="FF025C67"/>
      </top>
      <bottom style="thin">
        <color rgb="FF025C67"/>
      </bottom>
      <diagonal/>
    </border>
    <border>
      <left style="hair">
        <color theme="0" tint="-4.9989318521683403E-2"/>
      </left>
      <right/>
      <top style="medium">
        <color rgb="FF025C67"/>
      </top>
      <bottom style="medium">
        <color rgb="FF025C67"/>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style="medium">
        <color indexed="64"/>
      </right>
      <top/>
      <bottom style="medium">
        <color indexed="64"/>
      </bottom>
      <diagonal/>
    </border>
  </borders>
  <cellStyleXfs count="9">
    <xf numFmtId="0" fontId="0" fillId="0" borderId="0"/>
    <xf numFmtId="166" fontId="1" fillId="0" borderId="0" applyFont="0" applyFill="0" applyBorder="0" applyAlignment="0" applyProtection="0"/>
    <xf numFmtId="166" fontId="1" fillId="0" borderId="0" applyFont="0" applyFill="0" applyBorder="0" applyAlignment="0" applyProtection="0"/>
    <xf numFmtId="0" fontId="35" fillId="0" borderId="0" applyNumberFormat="0" applyFill="0" applyBorder="0" applyAlignment="0" applyProtection="0"/>
    <xf numFmtId="0" fontId="36" fillId="0" borderId="0"/>
    <xf numFmtId="0" fontId="37" fillId="0" borderId="0" applyNumberFormat="0" applyFill="0" applyBorder="0" applyAlignment="0" applyProtection="0">
      <alignment vertical="top"/>
      <protection locked="0"/>
    </xf>
    <xf numFmtId="43" fontId="36" fillId="0" borderId="0" applyFont="0" applyFill="0" applyBorder="0" applyAlignment="0" applyProtection="0"/>
    <xf numFmtId="167" fontId="1" fillId="0" borderId="0" applyFont="0" applyFill="0" applyBorder="0" applyAlignment="0" applyProtection="0"/>
    <xf numFmtId="9" fontId="1" fillId="0" borderId="0" applyFont="0" applyFill="0" applyBorder="0" applyAlignment="0" applyProtection="0"/>
  </cellStyleXfs>
  <cellXfs count="1139">
    <xf numFmtId="0" fontId="0" fillId="0" borderId="0" xfId="0"/>
    <xf numFmtId="0" fontId="8" fillId="2" borderId="0" xfId="0" applyFont="1" applyFill="1" applyProtection="1">
      <protection hidden="1"/>
    </xf>
    <xf numFmtId="1" fontId="8" fillId="2" borderId="0" xfId="0" applyNumberFormat="1" applyFont="1" applyFill="1" applyAlignment="1" applyProtection="1">
      <alignment horizontal="center" vertical="center"/>
      <protection hidden="1"/>
    </xf>
    <xf numFmtId="9" fontId="8" fillId="2" borderId="0" xfId="0" applyNumberFormat="1" applyFont="1" applyFill="1" applyAlignment="1" applyProtection="1">
      <alignment horizontal="center" vertical="center"/>
      <protection hidden="1"/>
    </xf>
    <xf numFmtId="0" fontId="7" fillId="2" borderId="0" xfId="0" applyFont="1" applyFill="1" applyAlignment="1" applyProtection="1">
      <alignment horizontal="left" vertical="center"/>
      <protection hidden="1"/>
    </xf>
    <xf numFmtId="0" fontId="8" fillId="2" borderId="0" xfId="0" applyFont="1" applyFill="1" applyAlignment="1" applyProtection="1">
      <alignment horizontal="left" vertical="center"/>
      <protection hidden="1"/>
    </xf>
    <xf numFmtId="0" fontId="0" fillId="0" borderId="0" xfId="0" applyProtection="1">
      <protection hidden="1"/>
    </xf>
    <xf numFmtId="0" fontId="9" fillId="2" borderId="0" xfId="0" applyFont="1" applyFill="1" applyAlignment="1" applyProtection="1">
      <alignment horizontal="left" vertical="center"/>
      <protection hidden="1"/>
    </xf>
    <xf numFmtId="3" fontId="8" fillId="2" borderId="0" xfId="0" applyNumberFormat="1" applyFont="1" applyFill="1" applyAlignment="1" applyProtection="1">
      <alignment horizontal="left" vertical="center"/>
      <protection hidden="1"/>
    </xf>
    <xf numFmtId="0" fontId="44" fillId="2" borderId="0" xfId="0" applyFont="1" applyFill="1" applyAlignment="1" applyProtection="1">
      <alignment horizontal="left" vertical="center"/>
      <protection hidden="1"/>
    </xf>
    <xf numFmtId="14" fontId="14"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left" vertical="center"/>
      <protection hidden="1"/>
    </xf>
    <xf numFmtId="0" fontId="8" fillId="2" borderId="0" xfId="0" applyFont="1" applyFill="1" applyProtection="1">
      <protection locked="0" hidden="1"/>
    </xf>
    <xf numFmtId="0" fontId="8" fillId="2" borderId="0" xfId="0" applyFont="1" applyFill="1" applyAlignment="1" applyProtection="1">
      <alignment horizontal="center" vertical="center"/>
      <protection locked="0" hidden="1"/>
    </xf>
    <xf numFmtId="0" fontId="5" fillId="0" borderId="0" xfId="0" applyFont="1" applyAlignment="1" applyProtection="1">
      <alignment horizontal="center" vertical="center"/>
      <protection locked="0" hidden="1"/>
    </xf>
    <xf numFmtId="0" fontId="42" fillId="0" borderId="0" xfId="0" applyFont="1" applyAlignment="1" applyProtection="1">
      <alignment horizontal="center" vertical="center" wrapText="1"/>
      <protection hidden="1"/>
    </xf>
    <xf numFmtId="2" fontId="5" fillId="0" borderId="0" xfId="0" applyNumberFormat="1" applyFont="1" applyAlignment="1" applyProtection="1">
      <alignment horizontal="center" vertical="center"/>
      <protection locked="0" hidden="1"/>
    </xf>
    <xf numFmtId="169" fontId="5" fillId="0" borderId="0" xfId="0" applyNumberFormat="1" applyFont="1" applyAlignment="1" applyProtection="1">
      <alignment horizontal="center" vertical="center"/>
      <protection locked="0" hidden="1"/>
    </xf>
    <xf numFmtId="170" fontId="5" fillId="0" borderId="0" xfId="0" applyNumberFormat="1" applyFont="1" applyAlignment="1" applyProtection="1">
      <alignment horizontal="center" vertical="center"/>
      <protection locked="0" hidden="1"/>
    </xf>
    <xf numFmtId="171" fontId="5" fillId="0" borderId="0" xfId="0" applyNumberFormat="1" applyFont="1" applyAlignment="1" applyProtection="1">
      <alignment horizontal="center" vertical="center"/>
      <protection locked="0" hidden="1"/>
    </xf>
    <xf numFmtId="0" fontId="3" fillId="0" borderId="0" xfId="0" applyFont="1" applyAlignment="1" applyProtection="1">
      <alignment horizontal="left" vertical="center"/>
      <protection hidden="1"/>
    </xf>
    <xf numFmtId="0" fontId="21" fillId="2" borderId="0" xfId="0" applyFont="1" applyFill="1" applyProtection="1">
      <protection hidden="1"/>
    </xf>
    <xf numFmtId="0" fontId="2" fillId="0" borderId="0" xfId="0" applyFont="1" applyAlignment="1" applyProtection="1">
      <alignment horizontal="left" vertical="center"/>
      <protection hidden="1"/>
    </xf>
    <xf numFmtId="0" fontId="3" fillId="0" borderId="0" xfId="0" applyFont="1" applyAlignment="1" applyProtection="1">
      <alignment horizontal="center"/>
      <protection hidden="1"/>
    </xf>
    <xf numFmtId="0" fontId="2" fillId="0" borderId="0" xfId="0" applyFont="1" applyAlignment="1" applyProtection="1">
      <alignment horizontal="center"/>
      <protection hidden="1"/>
    </xf>
    <xf numFmtId="0" fontId="16" fillId="0" borderId="7" xfId="0" applyFont="1" applyBorder="1" applyAlignment="1" applyProtection="1">
      <alignment vertical="center"/>
      <protection hidden="1"/>
    </xf>
    <xf numFmtId="0" fontId="16" fillId="0" borderId="9" xfId="0" applyFont="1" applyBorder="1" applyAlignment="1" applyProtection="1">
      <alignment vertical="center"/>
      <protection hidden="1"/>
    </xf>
    <xf numFmtId="0" fontId="16" fillId="0" borderId="11" xfId="0" applyFont="1" applyBorder="1" applyAlignment="1" applyProtection="1">
      <alignment vertical="center"/>
      <protection hidden="1"/>
    </xf>
    <xf numFmtId="0" fontId="2" fillId="2" borderId="0" xfId="0" applyFont="1" applyFill="1" applyAlignment="1" applyProtection="1">
      <alignment horizontal="left" vertical="center"/>
      <protection hidden="1"/>
    </xf>
    <xf numFmtId="0" fontId="11" fillId="2" borderId="0" xfId="0" applyFont="1" applyFill="1" applyAlignment="1" applyProtection="1">
      <alignment horizontal="center" vertical="center"/>
      <protection hidden="1"/>
    </xf>
    <xf numFmtId="2" fontId="11" fillId="2" borderId="0" xfId="0" applyNumberFormat="1" applyFont="1" applyFill="1" applyAlignment="1" applyProtection="1">
      <alignment horizontal="center" vertical="center"/>
      <protection hidden="1"/>
    </xf>
    <xf numFmtId="0" fontId="3" fillId="2" borderId="0" xfId="0" applyFont="1" applyFill="1" applyAlignment="1" applyProtection="1">
      <alignment horizontal="left" vertical="center"/>
      <protection hidden="1"/>
    </xf>
    <xf numFmtId="0" fontId="2" fillId="0" borderId="0" xfId="0" applyFont="1" applyAlignment="1" applyProtection="1">
      <alignment vertical="center"/>
      <protection hidden="1"/>
    </xf>
    <xf numFmtId="0" fontId="12" fillId="2" borderId="0" xfId="0" applyFont="1" applyFill="1" applyAlignment="1" applyProtection="1">
      <alignment horizontal="right" vertical="center"/>
      <protection hidden="1"/>
    </xf>
    <xf numFmtId="166" fontId="12" fillId="2" borderId="0" xfId="0" applyNumberFormat="1" applyFont="1" applyFill="1" applyAlignment="1" applyProtection="1">
      <alignment horizontal="center" vertical="center"/>
      <protection hidden="1"/>
    </xf>
    <xf numFmtId="171" fontId="14" fillId="0" borderId="10" xfId="0" applyNumberFormat="1" applyFont="1" applyBorder="1" applyAlignment="1" applyProtection="1">
      <alignment horizontal="center" vertical="center"/>
      <protection hidden="1"/>
    </xf>
    <xf numFmtId="0" fontId="12" fillId="4" borderId="16" xfId="0" applyFont="1" applyFill="1" applyBorder="1" applyAlignment="1" applyProtection="1">
      <alignment horizontal="center" vertical="center"/>
      <protection hidden="1"/>
    </xf>
    <xf numFmtId="171" fontId="12" fillId="4" borderId="17" xfId="0" applyNumberFormat="1" applyFont="1" applyFill="1" applyBorder="1" applyAlignment="1" applyProtection="1">
      <alignment horizontal="center" vertical="center"/>
      <protection hidden="1"/>
    </xf>
    <xf numFmtId="0" fontId="0" fillId="2" borderId="0" xfId="0" applyFill="1" applyProtection="1">
      <protection hidden="1"/>
    </xf>
    <xf numFmtId="0" fontId="0" fillId="2" borderId="0" xfId="0" applyFill="1" applyAlignment="1" applyProtection="1">
      <alignment horizontal="center"/>
      <protection hidden="1"/>
    </xf>
    <xf numFmtId="0" fontId="17" fillId="2" borderId="0" xfId="0" applyFont="1" applyFill="1" applyAlignment="1" applyProtection="1">
      <alignment horizontal="right" vertical="center"/>
      <protection hidden="1"/>
    </xf>
    <xf numFmtId="166" fontId="17" fillId="2" borderId="0" xfId="0" applyNumberFormat="1" applyFont="1" applyFill="1" applyAlignment="1" applyProtection="1">
      <alignment horizontal="left" vertical="center"/>
      <protection hidden="1"/>
    </xf>
    <xf numFmtId="0" fontId="19" fillId="2" borderId="0" xfId="0" applyFont="1" applyFill="1" applyAlignment="1" applyProtection="1">
      <alignment horizontal="left" vertical="center"/>
      <protection hidden="1"/>
    </xf>
    <xf numFmtId="166" fontId="19" fillId="2" borderId="0" xfId="0" applyNumberFormat="1" applyFont="1" applyFill="1" applyAlignment="1" applyProtection="1">
      <alignment horizontal="left" vertical="center"/>
      <protection hidden="1"/>
    </xf>
    <xf numFmtId="0" fontId="20" fillId="2" borderId="0" xfId="0" applyFont="1" applyFill="1" applyAlignment="1" applyProtection="1">
      <alignment horizontal="right" vertical="center"/>
      <protection hidden="1"/>
    </xf>
    <xf numFmtId="166" fontId="15" fillId="2" borderId="0" xfId="0" applyNumberFormat="1" applyFont="1" applyFill="1" applyAlignment="1" applyProtection="1">
      <alignment horizontal="left" vertical="center"/>
      <protection hidden="1"/>
    </xf>
    <xf numFmtId="0" fontId="6" fillId="2" borderId="0" xfId="0" applyFont="1" applyFill="1" applyProtection="1">
      <protection hidden="1"/>
    </xf>
    <xf numFmtId="171" fontId="3" fillId="0" borderId="0" xfId="0" applyNumberFormat="1" applyFont="1" applyAlignment="1" applyProtection="1">
      <alignment horizontal="left" vertical="center"/>
      <protection hidden="1"/>
    </xf>
    <xf numFmtId="0" fontId="4" fillId="2" borderId="0" xfId="0" applyFont="1" applyFill="1" applyProtection="1">
      <protection hidden="1"/>
    </xf>
    <xf numFmtId="9" fontId="4" fillId="2" borderId="0" xfId="0" applyNumberFormat="1" applyFont="1" applyFill="1" applyAlignment="1" applyProtection="1">
      <alignment horizontal="center"/>
      <protection hidden="1"/>
    </xf>
    <xf numFmtId="9" fontId="4" fillId="2" borderId="0" xfId="0" applyNumberFormat="1" applyFont="1" applyFill="1" applyAlignment="1" applyProtection="1">
      <alignment horizontal="center" vertical="center"/>
      <protection hidden="1"/>
    </xf>
    <xf numFmtId="0" fontId="10" fillId="2" borderId="0" xfId="0" applyFont="1" applyFill="1" applyAlignment="1" applyProtection="1">
      <alignment horizontal="left" vertical="center"/>
      <protection hidden="1"/>
    </xf>
    <xf numFmtId="0" fontId="6" fillId="2" borderId="0" xfId="0" applyFont="1" applyFill="1" applyAlignment="1" applyProtection="1">
      <alignment horizontal="center" vertical="center" wrapText="1"/>
      <protection hidden="1"/>
    </xf>
    <xf numFmtId="171" fontId="57" fillId="3" borderId="27" xfId="0" applyNumberFormat="1" applyFont="1" applyFill="1" applyBorder="1" applyAlignment="1" applyProtection="1">
      <alignment vertical="center" wrapText="1"/>
      <protection hidden="1"/>
    </xf>
    <xf numFmtId="171" fontId="57" fillId="3" borderId="29" xfId="0" applyNumberFormat="1" applyFont="1" applyFill="1" applyBorder="1" applyAlignment="1" applyProtection="1">
      <alignment vertical="center" wrapText="1"/>
      <protection hidden="1"/>
    </xf>
    <xf numFmtId="0" fontId="17" fillId="2" borderId="0" xfId="0" applyFont="1" applyFill="1" applyAlignment="1" applyProtection="1">
      <alignment horizontal="left" vertical="center"/>
      <protection hidden="1"/>
    </xf>
    <xf numFmtId="171" fontId="17" fillId="2" borderId="0" xfId="0" applyNumberFormat="1"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3" fillId="2" borderId="0" xfId="0" applyFont="1" applyFill="1" applyAlignment="1" applyProtection="1">
      <alignment vertical="center"/>
      <protection hidden="1"/>
    </xf>
    <xf numFmtId="0" fontId="13" fillId="2" borderId="0" xfId="0" applyFont="1" applyFill="1" applyAlignment="1" applyProtection="1">
      <alignment vertical="center" wrapText="1"/>
      <protection hidden="1"/>
    </xf>
    <xf numFmtId="166" fontId="0" fillId="2" borderId="0" xfId="1" applyFont="1" applyFill="1" applyBorder="1" applyProtection="1">
      <protection hidden="1"/>
    </xf>
    <xf numFmtId="166" fontId="63" fillId="2" borderId="0" xfId="1" applyFont="1" applyFill="1" applyBorder="1" applyProtection="1">
      <protection hidden="1"/>
    </xf>
    <xf numFmtId="0" fontId="63" fillId="2" borderId="0" xfId="0" applyFont="1" applyFill="1" applyProtection="1">
      <protection hidden="1"/>
    </xf>
    <xf numFmtId="171" fontId="6" fillId="2" borderId="0" xfId="0" applyNumberFormat="1" applyFont="1" applyFill="1" applyProtection="1">
      <protection hidden="1"/>
    </xf>
    <xf numFmtId="173" fontId="14" fillId="2" borderId="0" xfId="0" applyNumberFormat="1" applyFont="1" applyFill="1" applyAlignment="1">
      <alignment horizontal="center"/>
    </xf>
    <xf numFmtId="173" fontId="14" fillId="2" borderId="0" xfId="0" applyNumberFormat="1" applyFont="1" applyFill="1" applyAlignment="1">
      <alignment horizontal="right"/>
    </xf>
    <xf numFmtId="10" fontId="14" fillId="2" borderId="0" xfId="0" applyNumberFormat="1" applyFont="1" applyFill="1" applyAlignment="1">
      <alignment horizontal="center"/>
    </xf>
    <xf numFmtId="168" fontId="14" fillId="2" borderId="0" xfId="0" applyNumberFormat="1" applyFont="1" applyFill="1" applyAlignment="1">
      <alignment horizontal="center"/>
    </xf>
    <xf numFmtId="2" fontId="14" fillId="2" borderId="0" xfId="0" applyNumberFormat="1" applyFont="1" applyFill="1" applyAlignment="1">
      <alignment horizontal="center" vertical="center"/>
    </xf>
    <xf numFmtId="1" fontId="14" fillId="2" borderId="0" xfId="0" applyNumberFormat="1" applyFont="1" applyFill="1" applyAlignment="1">
      <alignment horizontal="center" vertical="center"/>
    </xf>
    <xf numFmtId="10" fontId="14" fillId="2" borderId="0" xfId="0" applyNumberFormat="1" applyFont="1" applyFill="1"/>
    <xf numFmtId="0" fontId="14" fillId="2" borderId="0" xfId="0" applyFont="1" applyFill="1"/>
    <xf numFmtId="0" fontId="14" fillId="2" borderId="0" xfId="0" applyFont="1" applyFill="1" applyAlignment="1">
      <alignment horizontal="center" vertical="center" wrapText="1"/>
    </xf>
    <xf numFmtId="0" fontId="14" fillId="2" borderId="0" xfId="0" applyFont="1" applyFill="1" applyAlignment="1">
      <alignment wrapText="1"/>
    </xf>
    <xf numFmtId="0" fontId="14" fillId="2" borderId="0" xfId="0" applyFont="1" applyFill="1" applyAlignment="1">
      <alignment vertical="center" wrapText="1"/>
    </xf>
    <xf numFmtId="0" fontId="14" fillId="2" borderId="0" xfId="0" applyFont="1" applyFill="1" applyAlignment="1">
      <alignment horizontal="center" vertical="center"/>
    </xf>
    <xf numFmtId="166" fontId="14" fillId="2" borderId="0" xfId="1" applyFont="1" applyFill="1" applyAlignment="1">
      <alignment horizontal="center" vertical="center"/>
    </xf>
    <xf numFmtId="171" fontId="14" fillId="2" borderId="0" xfId="0" applyNumberFormat="1" applyFont="1" applyFill="1"/>
    <xf numFmtId="10" fontId="14" fillId="2" borderId="0" xfId="0" applyNumberFormat="1" applyFont="1" applyFill="1" applyAlignment="1">
      <alignment horizontal="center" vertical="center"/>
    </xf>
    <xf numFmtId="9" fontId="14" fillId="2" borderId="0" xfId="0" applyNumberFormat="1" applyFont="1" applyFill="1"/>
    <xf numFmtId="171" fontId="14" fillId="0" borderId="12" xfId="0" applyNumberFormat="1"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1" fontId="5" fillId="0" borderId="0" xfId="0" applyNumberFormat="1" applyFont="1" applyAlignment="1" applyProtection="1">
      <alignment horizontal="center" vertical="center"/>
      <protection hidden="1"/>
    </xf>
    <xf numFmtId="0" fontId="7" fillId="2" borderId="0" xfId="0" applyFont="1" applyFill="1" applyAlignment="1" applyProtection="1">
      <alignment horizontal="center" vertical="center"/>
      <protection locked="0" hidden="1"/>
    </xf>
    <xf numFmtId="4" fontId="7" fillId="2" borderId="0" xfId="0" applyNumberFormat="1" applyFont="1" applyFill="1" applyAlignment="1" applyProtection="1">
      <alignment horizontal="center" vertical="center"/>
      <protection locked="0" hidden="1"/>
    </xf>
    <xf numFmtId="0" fontId="16" fillId="0" borderId="33" xfId="0" applyFont="1" applyBorder="1" applyAlignment="1" applyProtection="1">
      <alignment vertical="center"/>
      <protection hidden="1"/>
    </xf>
    <xf numFmtId="0" fontId="16" fillId="0" borderId="44" xfId="0" applyFont="1" applyBorder="1" applyAlignment="1" applyProtection="1">
      <alignment vertical="center"/>
      <protection hidden="1"/>
    </xf>
    <xf numFmtId="0" fontId="16" fillId="0" borderId="48" xfId="0" applyFont="1" applyBorder="1" applyAlignment="1" applyProtection="1">
      <alignment vertical="center"/>
      <protection hidden="1"/>
    </xf>
    <xf numFmtId="171" fontId="16" fillId="0" borderId="49" xfId="0" applyNumberFormat="1" applyFont="1" applyBorder="1" applyAlignment="1" applyProtection="1">
      <alignment horizontal="center" vertical="center"/>
      <protection hidden="1"/>
    </xf>
    <xf numFmtId="171" fontId="16" fillId="0" borderId="34" xfId="0" applyNumberFormat="1" applyFont="1" applyBorder="1" applyAlignment="1" applyProtection="1">
      <alignment horizontal="center" vertical="center"/>
      <protection hidden="1"/>
    </xf>
    <xf numFmtId="0" fontId="16" fillId="0" borderId="45" xfId="0" applyFont="1" applyBorder="1" applyAlignment="1" applyProtection="1">
      <alignment horizontal="center" vertical="center"/>
      <protection hidden="1"/>
    </xf>
    <xf numFmtId="10" fontId="16" fillId="0" borderId="49" xfId="0" applyNumberFormat="1" applyFont="1" applyBorder="1" applyAlignment="1" applyProtection="1">
      <alignment horizontal="center" vertical="center"/>
      <protection hidden="1"/>
    </xf>
    <xf numFmtId="0" fontId="16" fillId="0" borderId="34" xfId="0" applyFont="1" applyBorder="1" applyAlignment="1" applyProtection="1">
      <alignment horizontal="center" vertical="center"/>
      <protection hidden="1"/>
    </xf>
    <xf numFmtId="171" fontId="14" fillId="0" borderId="34" xfId="0" applyNumberFormat="1" applyFont="1" applyBorder="1" applyAlignment="1" applyProtection="1">
      <alignment horizontal="center" vertical="center"/>
      <protection hidden="1"/>
    </xf>
    <xf numFmtId="4" fontId="16" fillId="2" borderId="34" xfId="0" applyNumberFormat="1" applyFont="1" applyFill="1" applyBorder="1" applyAlignment="1" applyProtection="1">
      <alignment horizontal="center" vertical="center"/>
      <protection hidden="1"/>
    </xf>
    <xf numFmtId="4" fontId="16" fillId="2" borderId="45" xfId="0" applyNumberFormat="1" applyFont="1" applyFill="1" applyBorder="1" applyAlignment="1" applyProtection="1">
      <alignment horizontal="center" vertical="center"/>
      <protection hidden="1"/>
    </xf>
    <xf numFmtId="168" fontId="16" fillId="0" borderId="49" xfId="0" applyNumberFormat="1" applyFont="1" applyBorder="1" applyAlignment="1" applyProtection="1">
      <alignment horizontal="center" vertical="center"/>
      <protection hidden="1"/>
    </xf>
    <xf numFmtId="0" fontId="16" fillId="2" borderId="48" xfId="0" applyFont="1" applyFill="1" applyBorder="1" applyAlignment="1" applyProtection="1">
      <alignment vertical="center"/>
      <protection hidden="1"/>
    </xf>
    <xf numFmtId="171" fontId="16" fillId="2" borderId="49" xfId="0" applyNumberFormat="1" applyFont="1" applyFill="1" applyBorder="1" applyAlignment="1" applyProtection="1">
      <alignment horizontal="center" vertical="center"/>
      <protection hidden="1"/>
    </xf>
    <xf numFmtId="0" fontId="16" fillId="2" borderId="44" xfId="0" quotePrefix="1" applyFont="1" applyFill="1" applyBorder="1" applyAlignment="1" applyProtection="1">
      <alignment vertical="center"/>
      <protection hidden="1"/>
    </xf>
    <xf numFmtId="10" fontId="16" fillId="2" borderId="45" xfId="0" applyNumberFormat="1" applyFont="1" applyFill="1" applyBorder="1" applyAlignment="1" applyProtection="1">
      <alignment horizontal="center" vertical="center"/>
      <protection hidden="1"/>
    </xf>
    <xf numFmtId="0" fontId="16" fillId="2" borderId="52" xfId="0" applyFont="1" applyFill="1" applyBorder="1" applyAlignment="1" applyProtection="1">
      <alignment vertical="center"/>
      <protection hidden="1"/>
    </xf>
    <xf numFmtId="171" fontId="16" fillId="2" borderId="53" xfId="0" applyNumberFormat="1" applyFont="1" applyFill="1" applyBorder="1" applyAlignment="1" applyProtection="1">
      <alignment horizontal="center" vertical="center"/>
      <protection hidden="1"/>
    </xf>
    <xf numFmtId="0" fontId="16" fillId="2" borderId="38" xfId="0" quotePrefix="1" applyFont="1" applyFill="1" applyBorder="1" applyAlignment="1" applyProtection="1">
      <alignment vertical="center"/>
      <protection hidden="1"/>
    </xf>
    <xf numFmtId="10" fontId="16" fillId="2" borderId="39" xfId="0" applyNumberFormat="1" applyFont="1" applyFill="1" applyBorder="1" applyAlignment="1" applyProtection="1">
      <alignment horizontal="center" vertical="center"/>
      <protection hidden="1"/>
    </xf>
    <xf numFmtId="0" fontId="16" fillId="2" borderId="54" xfId="0" applyFont="1" applyFill="1" applyBorder="1" applyAlignment="1" applyProtection="1">
      <alignment vertical="center"/>
      <protection hidden="1"/>
    </xf>
    <xf numFmtId="3" fontId="16" fillId="2" borderId="55" xfId="0" applyNumberFormat="1" applyFont="1" applyFill="1" applyBorder="1" applyAlignment="1" applyProtection="1">
      <alignment horizontal="center" vertical="center"/>
      <protection hidden="1"/>
    </xf>
    <xf numFmtId="0" fontId="16" fillId="0" borderId="33" xfId="0" quotePrefix="1" applyFont="1" applyBorder="1" applyAlignment="1" applyProtection="1">
      <alignment vertical="center"/>
      <protection hidden="1"/>
    </xf>
    <xf numFmtId="10" fontId="16" fillId="0" borderId="34" xfId="0" applyNumberFormat="1" applyFont="1" applyBorder="1" applyAlignment="1" applyProtection="1">
      <alignment horizontal="center" vertical="center"/>
      <protection hidden="1"/>
    </xf>
    <xf numFmtId="3" fontId="16" fillId="0" borderId="45" xfId="0" applyNumberFormat="1" applyFont="1" applyBorder="1" applyAlignment="1" applyProtection="1">
      <alignment horizontal="center" vertical="center"/>
      <protection hidden="1"/>
    </xf>
    <xf numFmtId="0" fontId="17" fillId="4" borderId="46" xfId="0" applyFont="1" applyFill="1" applyBorder="1" applyAlignment="1" applyProtection="1">
      <alignment vertical="center"/>
      <protection hidden="1"/>
    </xf>
    <xf numFmtId="171" fontId="17" fillId="4" borderId="47" xfId="0" applyNumberFormat="1" applyFont="1" applyFill="1" applyBorder="1" applyAlignment="1" applyProtection="1">
      <alignment horizontal="center" vertical="center"/>
      <protection hidden="1"/>
    </xf>
    <xf numFmtId="0" fontId="16" fillId="0" borderId="44" xfId="0" quotePrefix="1" applyFont="1" applyBorder="1" applyAlignment="1" applyProtection="1">
      <alignment vertical="center" wrapText="1"/>
      <protection hidden="1"/>
    </xf>
    <xf numFmtId="9" fontId="16" fillId="0" borderId="45" xfId="0" applyNumberFormat="1" applyFont="1" applyBorder="1" applyAlignment="1" applyProtection="1">
      <alignment horizontal="center" vertical="center"/>
      <protection hidden="1"/>
    </xf>
    <xf numFmtId="0" fontId="52" fillId="4" borderId="46" xfId="0" applyFont="1" applyFill="1" applyBorder="1" applyAlignment="1" applyProtection="1">
      <alignment vertical="center"/>
      <protection hidden="1"/>
    </xf>
    <xf numFmtId="171" fontId="52" fillId="4" borderId="47" xfId="0" applyNumberFormat="1" applyFont="1" applyFill="1" applyBorder="1" applyAlignment="1" applyProtection="1">
      <alignment horizontal="center" vertical="center"/>
      <protection hidden="1"/>
    </xf>
    <xf numFmtId="0" fontId="14" fillId="2" borderId="44" xfId="0" quotePrefix="1" applyFont="1" applyFill="1" applyBorder="1" applyAlignment="1" applyProtection="1">
      <alignment vertical="center"/>
      <protection hidden="1"/>
    </xf>
    <xf numFmtId="9" fontId="16" fillId="2" borderId="45" xfId="0" applyNumberFormat="1" applyFont="1" applyFill="1" applyBorder="1" applyAlignment="1" applyProtection="1">
      <alignment horizontal="center" vertical="center"/>
      <protection hidden="1"/>
    </xf>
    <xf numFmtId="0" fontId="58" fillId="3" borderId="56" xfId="0" applyFont="1" applyFill="1" applyBorder="1" applyAlignment="1" applyProtection="1">
      <alignment horizontal="center" vertical="center" wrapText="1"/>
      <protection hidden="1"/>
    </xf>
    <xf numFmtId="0" fontId="16" fillId="0" borderId="31" xfId="0" applyFont="1" applyBorder="1" applyAlignment="1" applyProtection="1">
      <alignment vertical="center"/>
      <protection hidden="1"/>
    </xf>
    <xf numFmtId="0" fontId="16" fillId="0" borderId="35" xfId="0" applyFont="1" applyBorder="1" applyAlignment="1" applyProtection="1">
      <alignment vertical="center"/>
      <protection hidden="1"/>
    </xf>
    <xf numFmtId="2" fontId="52" fillId="4" borderId="47" xfId="0" applyNumberFormat="1" applyFont="1" applyFill="1" applyBorder="1" applyAlignment="1" applyProtection="1">
      <alignment horizontal="center" vertical="center"/>
      <protection hidden="1"/>
    </xf>
    <xf numFmtId="0" fontId="52" fillId="4" borderId="46" xfId="0" applyFont="1" applyFill="1" applyBorder="1" applyAlignment="1" applyProtection="1">
      <alignment horizontal="center" vertical="center" wrapText="1"/>
      <protection hidden="1"/>
    </xf>
    <xf numFmtId="0" fontId="52" fillId="4" borderId="46" xfId="0" applyFont="1" applyFill="1" applyBorder="1" applyAlignment="1" applyProtection="1">
      <alignment horizontal="center" vertical="center"/>
      <protection hidden="1"/>
    </xf>
    <xf numFmtId="171" fontId="70" fillId="3" borderId="57" xfId="0" applyNumberFormat="1" applyFont="1" applyFill="1" applyBorder="1" applyAlignment="1" applyProtection="1">
      <alignment horizontal="center" vertical="center"/>
      <protection hidden="1"/>
    </xf>
    <xf numFmtId="171" fontId="70" fillId="3" borderId="57" xfId="0" applyNumberFormat="1" applyFont="1" applyFill="1" applyBorder="1" applyAlignment="1" applyProtection="1">
      <alignment horizontal="center" vertical="center" wrapText="1"/>
      <protection hidden="1"/>
    </xf>
    <xf numFmtId="0" fontId="14" fillId="0" borderId="46" xfId="0" applyFont="1" applyBorder="1" applyAlignment="1" applyProtection="1">
      <alignment horizontal="center" vertical="center" wrapText="1"/>
      <protection hidden="1"/>
    </xf>
    <xf numFmtId="0" fontId="14" fillId="0" borderId="58" xfId="0" applyFont="1" applyBorder="1" applyAlignment="1" applyProtection="1">
      <alignment horizontal="center" vertical="center" wrapText="1"/>
      <protection hidden="1"/>
    </xf>
    <xf numFmtId="0" fontId="14" fillId="0" borderId="47" xfId="0" applyFont="1" applyBorder="1" applyAlignment="1" applyProtection="1">
      <alignment horizontal="center" vertical="center" wrapText="1"/>
      <protection hidden="1"/>
    </xf>
    <xf numFmtId="171" fontId="48" fillId="0" borderId="62" xfId="1" applyNumberFormat="1" applyFont="1" applyFill="1" applyBorder="1" applyAlignment="1" applyProtection="1">
      <alignment horizontal="center" vertical="center"/>
      <protection hidden="1"/>
    </xf>
    <xf numFmtId="10" fontId="48" fillId="0" borderId="62" xfId="0" applyNumberFormat="1" applyFont="1" applyBorder="1" applyAlignment="1" applyProtection="1">
      <alignment horizontal="center" vertical="center"/>
      <protection hidden="1"/>
    </xf>
    <xf numFmtId="3" fontId="48" fillId="0" borderId="62" xfId="0" applyNumberFormat="1" applyFont="1" applyBorder="1" applyAlignment="1" applyProtection="1">
      <alignment horizontal="center" vertical="center" wrapText="1"/>
      <protection hidden="1"/>
    </xf>
    <xf numFmtId="171" fontId="48" fillId="0" borderId="62" xfId="1" applyNumberFormat="1" applyFont="1" applyFill="1" applyBorder="1" applyAlignment="1" applyProtection="1">
      <alignment horizontal="center" vertical="center" wrapText="1"/>
      <protection hidden="1"/>
    </xf>
    <xf numFmtId="0" fontId="22" fillId="3" borderId="67" xfId="0" applyFont="1" applyFill="1" applyBorder="1" applyAlignment="1" applyProtection="1">
      <alignment horizontal="center" vertical="center" wrapText="1"/>
      <protection hidden="1"/>
    </xf>
    <xf numFmtId="4" fontId="71" fillId="3" borderId="68" xfId="0" applyNumberFormat="1" applyFont="1" applyFill="1" applyBorder="1" applyAlignment="1" applyProtection="1">
      <alignment horizontal="center" vertical="center" wrapText="1"/>
      <protection hidden="1"/>
    </xf>
    <xf numFmtId="171" fontId="71" fillId="3" borderId="68" xfId="0" applyNumberFormat="1" applyFont="1" applyFill="1" applyBorder="1" applyAlignment="1" applyProtection="1">
      <alignment horizontal="center" vertical="center" wrapText="1"/>
      <protection hidden="1"/>
    </xf>
    <xf numFmtId="3" fontId="71" fillId="3" borderId="68" xfId="0" applyNumberFormat="1" applyFont="1" applyFill="1" applyBorder="1" applyAlignment="1" applyProtection="1">
      <alignment horizontal="center" vertical="center" wrapText="1"/>
      <protection hidden="1"/>
    </xf>
    <xf numFmtId="0" fontId="68" fillId="0" borderId="50" xfId="0" applyFont="1" applyBorder="1" applyAlignment="1" applyProtection="1">
      <alignment vertical="center" textRotation="90" wrapText="1"/>
      <protection hidden="1"/>
    </xf>
    <xf numFmtId="0" fontId="44" fillId="2" borderId="31" xfId="0" applyFont="1" applyFill="1" applyBorder="1" applyAlignment="1" applyProtection="1">
      <alignment horizontal="center" vertical="center"/>
      <protection hidden="1"/>
    </xf>
    <xf numFmtId="0" fontId="67" fillId="2" borderId="0" xfId="0" applyFont="1" applyFill="1" applyAlignment="1" applyProtection="1">
      <alignment horizontal="center" vertical="center" wrapText="1"/>
      <protection hidden="1"/>
    </xf>
    <xf numFmtId="166" fontId="14" fillId="2" borderId="0" xfId="1" applyFont="1" applyFill="1"/>
    <xf numFmtId="171" fontId="16" fillId="0" borderId="32" xfId="0" applyNumberFormat="1" applyFont="1" applyBorder="1" applyAlignment="1" applyProtection="1">
      <alignment horizontal="center" vertical="center"/>
      <protection hidden="1"/>
    </xf>
    <xf numFmtId="0" fontId="44" fillId="2" borderId="72" xfId="0" applyFont="1" applyFill="1" applyBorder="1" applyAlignment="1" applyProtection="1">
      <alignment vertical="center"/>
      <protection hidden="1"/>
    </xf>
    <xf numFmtId="0" fontId="44" fillId="2" borderId="38" xfId="0" applyFont="1" applyFill="1" applyBorder="1" applyAlignment="1" applyProtection="1">
      <alignment vertical="center"/>
      <protection hidden="1"/>
    </xf>
    <xf numFmtId="14" fontId="14" fillId="2" borderId="74" xfId="7" applyNumberFormat="1" applyFont="1" applyFill="1" applyBorder="1" applyAlignment="1" applyProtection="1">
      <alignment horizontal="center" vertical="center"/>
      <protection hidden="1"/>
    </xf>
    <xf numFmtId="3" fontId="14" fillId="2" borderId="74" xfId="0" applyNumberFormat="1" applyFont="1" applyFill="1" applyBorder="1" applyAlignment="1" applyProtection="1">
      <alignment horizontal="center" vertical="center"/>
      <protection hidden="1"/>
    </xf>
    <xf numFmtId="0" fontId="44" fillId="2" borderId="54" xfId="0" applyFont="1" applyFill="1" applyBorder="1" applyAlignment="1" applyProtection="1">
      <alignment vertical="center"/>
      <protection hidden="1"/>
    </xf>
    <xf numFmtId="0" fontId="44" fillId="2" borderId="40" xfId="0" applyFont="1" applyFill="1" applyBorder="1" applyAlignment="1" applyProtection="1">
      <alignment vertical="center"/>
      <protection hidden="1"/>
    </xf>
    <xf numFmtId="3" fontId="14" fillId="2" borderId="75" xfId="0" applyNumberFormat="1" applyFont="1" applyFill="1" applyBorder="1" applyAlignment="1" applyProtection="1">
      <alignment horizontal="center" vertical="center"/>
      <protection hidden="1"/>
    </xf>
    <xf numFmtId="0" fontId="23" fillId="3" borderId="46" xfId="0" applyFont="1" applyFill="1" applyBorder="1" applyAlignment="1" applyProtection="1">
      <alignment horizontal="left" vertical="center"/>
      <protection hidden="1"/>
    </xf>
    <xf numFmtId="0" fontId="23" fillId="3" borderId="65" xfId="0" applyFont="1" applyFill="1" applyBorder="1" applyAlignment="1" applyProtection="1">
      <alignment horizontal="center" vertical="center"/>
      <protection hidden="1"/>
    </xf>
    <xf numFmtId="0" fontId="3" fillId="0" borderId="0" xfId="0" applyFont="1" applyAlignment="1" applyProtection="1">
      <alignment horizontal="left" vertical="top"/>
      <protection hidden="1"/>
    </xf>
    <xf numFmtId="0" fontId="2" fillId="0" borderId="0" xfId="0" applyFont="1" applyAlignment="1" applyProtection="1">
      <alignment horizontal="left" vertical="top"/>
      <protection hidden="1"/>
    </xf>
    <xf numFmtId="0" fontId="14" fillId="0" borderId="8" xfId="0" applyFont="1" applyBorder="1" applyAlignment="1" applyProtection="1">
      <alignment horizontal="center" vertical="center"/>
      <protection locked="0"/>
    </xf>
    <xf numFmtId="0" fontId="44" fillId="2" borderId="23" xfId="0" applyFont="1" applyFill="1" applyBorder="1" applyAlignment="1">
      <alignment horizontal="center" vertical="center"/>
    </xf>
    <xf numFmtId="9" fontId="44" fillId="2" borderId="32" xfId="8" applyFont="1" applyFill="1" applyBorder="1" applyAlignment="1" applyProtection="1">
      <alignment horizontal="center" vertical="center"/>
    </xf>
    <xf numFmtId="0" fontId="44" fillId="2" borderId="15" xfId="0" applyFont="1" applyFill="1" applyBorder="1" applyAlignment="1">
      <alignment horizontal="center" vertical="center"/>
    </xf>
    <xf numFmtId="9" fontId="44" fillId="2" borderId="34" xfId="8" applyFont="1" applyFill="1" applyBorder="1" applyAlignment="1" applyProtection="1">
      <alignment horizontal="center" vertical="center"/>
    </xf>
    <xf numFmtId="0" fontId="44" fillId="2" borderId="36" xfId="0" applyFont="1" applyFill="1" applyBorder="1" applyAlignment="1">
      <alignment horizontal="center" vertical="center"/>
    </xf>
    <xf numFmtId="9" fontId="44" fillId="2" borderId="37" xfId="8" applyFont="1" applyFill="1" applyBorder="1" applyAlignment="1" applyProtection="1">
      <alignment horizontal="center" vertical="center"/>
    </xf>
    <xf numFmtId="171" fontId="2" fillId="0" borderId="0" xfId="0" applyNumberFormat="1" applyFont="1" applyAlignment="1" applyProtection="1">
      <alignment horizontal="left" vertical="center"/>
      <protection hidden="1"/>
    </xf>
    <xf numFmtId="0" fontId="79" fillId="0" borderId="0" xfId="0" applyFont="1" applyAlignment="1" applyProtection="1">
      <alignment vertical="center" textRotation="90" wrapText="1"/>
      <protection hidden="1"/>
    </xf>
    <xf numFmtId="0" fontId="16" fillId="0" borderId="80" xfId="0" applyFont="1" applyBorder="1" applyAlignment="1" applyProtection="1">
      <alignment vertical="center"/>
      <protection hidden="1"/>
    </xf>
    <xf numFmtId="171" fontId="14" fillId="0" borderId="81" xfId="0" applyNumberFormat="1" applyFont="1" applyBorder="1" applyAlignment="1" applyProtection="1">
      <alignment horizontal="center" vertical="center"/>
      <protection hidden="1"/>
    </xf>
    <xf numFmtId="0" fontId="16" fillId="0" borderId="82" xfId="0" applyFont="1" applyBorder="1" applyAlignment="1" applyProtection="1">
      <alignment vertical="center"/>
      <protection hidden="1"/>
    </xf>
    <xf numFmtId="171" fontId="14" fillId="0" borderId="83" xfId="0" applyNumberFormat="1" applyFont="1" applyBorder="1" applyAlignment="1" applyProtection="1">
      <alignment horizontal="center" vertical="center"/>
      <protection hidden="1"/>
    </xf>
    <xf numFmtId="169" fontId="66" fillId="2" borderId="41" xfId="0" applyNumberFormat="1" applyFont="1" applyFill="1" applyBorder="1" applyAlignment="1" applyProtection="1">
      <alignment horizontal="center" vertical="center" wrapText="1"/>
      <protection hidden="1"/>
    </xf>
    <xf numFmtId="170" fontId="66" fillId="2" borderId="42" xfId="0" applyNumberFormat="1" applyFont="1" applyFill="1" applyBorder="1" applyAlignment="1" applyProtection="1">
      <alignment horizontal="center" vertical="center" wrapText="1"/>
      <protection hidden="1"/>
    </xf>
    <xf numFmtId="0" fontId="66" fillId="2" borderId="43" xfId="0" applyFont="1" applyFill="1" applyBorder="1" applyAlignment="1" applyProtection="1">
      <alignment horizontal="center" vertical="center" wrapText="1"/>
      <protection hidden="1"/>
    </xf>
    <xf numFmtId="171" fontId="5" fillId="0" borderId="79" xfId="0" applyNumberFormat="1" applyFont="1" applyBorder="1" applyAlignment="1" applyProtection="1">
      <alignment horizontal="center" vertical="center"/>
      <protection hidden="1"/>
    </xf>
    <xf numFmtId="171" fontId="5" fillId="0" borderId="81" xfId="0" applyNumberFormat="1" applyFont="1" applyBorder="1" applyAlignment="1" applyProtection="1">
      <alignment horizontal="center" vertical="center"/>
      <protection hidden="1"/>
    </xf>
    <xf numFmtId="171" fontId="5" fillId="0" borderId="83" xfId="0" applyNumberFormat="1" applyFont="1" applyBorder="1" applyAlignment="1" applyProtection="1">
      <alignment horizontal="center" vertical="center"/>
      <protection hidden="1"/>
    </xf>
    <xf numFmtId="0" fontId="66" fillId="2" borderId="41" xfId="0" applyFont="1" applyFill="1" applyBorder="1" applyAlignment="1" applyProtection="1">
      <alignment horizontal="center" vertical="center" wrapText="1"/>
      <protection hidden="1"/>
    </xf>
    <xf numFmtId="171" fontId="66" fillId="2" borderId="43" xfId="0" applyNumberFormat="1" applyFont="1" applyFill="1" applyBorder="1" applyAlignment="1" applyProtection="1">
      <alignment horizontal="center" vertical="center" wrapText="1"/>
      <protection hidden="1"/>
    </xf>
    <xf numFmtId="171" fontId="16" fillId="0" borderId="37" xfId="0" applyNumberFormat="1" applyFont="1" applyBorder="1" applyAlignment="1" applyProtection="1">
      <alignment horizontal="center" vertical="center"/>
      <protection hidden="1"/>
    </xf>
    <xf numFmtId="0" fontId="0" fillId="0" borderId="0" xfId="0" applyAlignment="1">
      <alignment horizontal="center" vertical="center" wrapText="1"/>
    </xf>
    <xf numFmtId="2"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1" fontId="0" fillId="0" borderId="0" xfId="0" applyNumberFormat="1" applyAlignment="1">
      <alignment horizontal="center" vertical="center"/>
    </xf>
    <xf numFmtId="166" fontId="1" fillId="2" borderId="0" xfId="1" applyFont="1" applyFill="1" applyBorder="1" applyProtection="1">
      <protection hidden="1"/>
    </xf>
    <xf numFmtId="2" fontId="5" fillId="0" borderId="89" xfId="0" applyNumberFormat="1" applyFont="1" applyBorder="1" applyAlignment="1" applyProtection="1">
      <alignment horizontal="center" vertical="center"/>
      <protection hidden="1"/>
    </xf>
    <xf numFmtId="2" fontId="5" fillId="0" borderId="66" xfId="0" applyNumberFormat="1" applyFont="1" applyBorder="1" applyAlignment="1" applyProtection="1">
      <alignment horizontal="center" vertical="center"/>
      <protection hidden="1"/>
    </xf>
    <xf numFmtId="9" fontId="0" fillId="0" borderId="0" xfId="8" applyFont="1"/>
    <xf numFmtId="10" fontId="0" fillId="0" borderId="0" xfId="8" applyNumberFormat="1" applyFont="1" applyAlignment="1">
      <alignment horizontal="center" vertical="center"/>
    </xf>
    <xf numFmtId="2" fontId="0" fillId="0" borderId="0" xfId="0" applyNumberFormat="1"/>
    <xf numFmtId="10" fontId="0" fillId="0" borderId="0" xfId="0" applyNumberFormat="1" applyAlignment="1">
      <alignment horizontal="center" vertical="center"/>
    </xf>
    <xf numFmtId="171" fontId="0" fillId="0" borderId="0" xfId="0" applyNumberFormat="1"/>
    <xf numFmtId="166" fontId="0" fillId="0" borderId="0" xfId="1" applyFont="1"/>
    <xf numFmtId="171" fontId="0" fillId="0" borderId="0" xfId="8" applyNumberFormat="1" applyFont="1" applyAlignment="1">
      <alignment horizontal="center" vertical="center"/>
    </xf>
    <xf numFmtId="175" fontId="0" fillId="0" borderId="0" xfId="0" applyNumberFormat="1" applyAlignment="1">
      <alignment horizontal="center" vertical="center"/>
    </xf>
    <xf numFmtId="10" fontId="3" fillId="2" borderId="0" xfId="8" applyNumberFormat="1" applyFont="1" applyFill="1" applyAlignment="1" applyProtection="1">
      <alignment horizontal="center" vertical="center"/>
      <protection hidden="1"/>
    </xf>
    <xf numFmtId="14" fontId="0" fillId="0" borderId="0" xfId="0" applyNumberFormat="1" applyAlignment="1">
      <alignment horizontal="center" vertical="center"/>
    </xf>
    <xf numFmtId="171" fontId="0" fillId="0" borderId="0" xfId="1" applyNumberFormat="1" applyFont="1" applyAlignment="1">
      <alignment horizontal="center" vertical="center"/>
    </xf>
    <xf numFmtId="0" fontId="14" fillId="2" borderId="0" xfId="0" applyFont="1" applyFill="1" applyAlignment="1">
      <alignment horizontal="center"/>
    </xf>
    <xf numFmtId="171" fontId="16" fillId="0" borderId="34" xfId="0" applyNumberFormat="1" applyFont="1" applyBorder="1" applyAlignment="1" applyProtection="1">
      <alignment horizontal="center" vertical="center"/>
      <protection locked="0" hidden="1"/>
    </xf>
    <xf numFmtId="171" fontId="16" fillId="0" borderId="37" xfId="0" applyNumberFormat="1" applyFont="1" applyBorder="1" applyAlignment="1" applyProtection="1">
      <alignment horizontal="center" vertical="center"/>
      <protection locked="0" hidden="1"/>
    </xf>
    <xf numFmtId="0" fontId="90" fillId="4" borderId="16" xfId="0" applyFont="1" applyFill="1" applyBorder="1" applyAlignment="1" applyProtection="1">
      <alignment horizontal="center" vertical="center" wrapText="1"/>
      <protection hidden="1"/>
    </xf>
    <xf numFmtId="14" fontId="64" fillId="0" borderId="110" xfId="1" applyNumberFormat="1" applyFont="1" applyFill="1" applyBorder="1" applyAlignment="1" applyProtection="1">
      <alignment horizontal="center" vertical="center"/>
      <protection hidden="1"/>
    </xf>
    <xf numFmtId="14" fontId="64" fillId="0" borderId="115" xfId="1" applyNumberFormat="1" applyFont="1" applyFill="1" applyBorder="1" applyAlignment="1" applyProtection="1">
      <alignment horizontal="center" vertical="center"/>
      <protection hidden="1"/>
    </xf>
    <xf numFmtId="2" fontId="70" fillId="3" borderId="115" xfId="1" applyNumberFormat="1" applyFont="1" applyFill="1" applyBorder="1" applyAlignment="1" applyProtection="1">
      <alignment horizontal="center" vertical="center"/>
      <protection hidden="1"/>
    </xf>
    <xf numFmtId="0" fontId="92" fillId="0" borderId="96" xfId="0" applyFont="1" applyBorder="1" applyAlignment="1" applyProtection="1">
      <alignment horizontal="center" vertical="center"/>
      <protection hidden="1"/>
    </xf>
    <xf numFmtId="1" fontId="93" fillId="0" borderId="97" xfId="1" applyNumberFormat="1" applyFont="1" applyFill="1" applyBorder="1" applyAlignment="1" applyProtection="1">
      <alignment horizontal="center" vertical="center"/>
      <protection hidden="1"/>
    </xf>
    <xf numFmtId="0" fontId="92" fillId="0" borderId="98" xfId="0" applyFont="1" applyBorder="1" applyAlignment="1" applyProtection="1">
      <alignment horizontal="center" vertical="center" wrapText="1"/>
      <protection hidden="1"/>
    </xf>
    <xf numFmtId="171" fontId="93" fillId="0" borderId="100" xfId="0" applyNumberFormat="1" applyFont="1" applyBorder="1" applyAlignment="1" applyProtection="1">
      <alignment horizontal="center" vertical="center" wrapText="1"/>
      <protection hidden="1"/>
    </xf>
    <xf numFmtId="0" fontId="71" fillId="3" borderId="101" xfId="0" applyFont="1" applyFill="1" applyBorder="1" applyAlignment="1" applyProtection="1">
      <alignment horizontal="center" vertical="center" wrapText="1"/>
      <protection hidden="1"/>
    </xf>
    <xf numFmtId="3" fontId="93" fillId="0" borderId="97" xfId="0" applyNumberFormat="1" applyFont="1" applyBorder="1" applyAlignment="1" applyProtection="1">
      <alignment horizontal="center" vertical="center"/>
      <protection hidden="1"/>
    </xf>
    <xf numFmtId="171" fontId="93" fillId="0" borderId="100" xfId="0" quotePrefix="1" applyNumberFormat="1" applyFont="1" applyBorder="1" applyAlignment="1" applyProtection="1">
      <alignment horizontal="center" vertical="center" wrapText="1"/>
      <protection hidden="1"/>
    </xf>
    <xf numFmtId="0" fontId="71" fillId="3" borderId="125" xfId="0" applyFont="1" applyFill="1" applyBorder="1" applyAlignment="1" applyProtection="1">
      <alignment horizontal="center" vertical="center" wrapText="1"/>
      <protection hidden="1"/>
    </xf>
    <xf numFmtId="171" fontId="99" fillId="4" borderId="17" xfId="0" applyNumberFormat="1" applyFont="1" applyFill="1" applyBorder="1" applyAlignment="1" applyProtection="1">
      <alignment horizontal="center" vertical="center" wrapText="1"/>
      <protection hidden="1"/>
    </xf>
    <xf numFmtId="0" fontId="100" fillId="0" borderId="0" xfId="0" applyFont="1"/>
    <xf numFmtId="0" fontId="100" fillId="0" borderId="0" xfId="0" applyFont="1" applyAlignment="1">
      <alignment horizontal="center" vertical="center" wrapText="1"/>
    </xf>
    <xf numFmtId="2" fontId="100" fillId="0" borderId="0" xfId="0" applyNumberFormat="1" applyFont="1" applyAlignment="1">
      <alignment horizontal="center" vertical="center"/>
    </xf>
    <xf numFmtId="0" fontId="100" fillId="0" borderId="0" xfId="0" applyFont="1" applyAlignment="1">
      <alignment horizontal="center" vertical="center"/>
    </xf>
    <xf numFmtId="3" fontId="100" fillId="0" borderId="0" xfId="0" applyNumberFormat="1" applyFont="1" applyAlignment="1">
      <alignment horizontal="center" vertical="center"/>
    </xf>
    <xf numFmtId="1" fontId="100" fillId="0" borderId="0" xfId="0" applyNumberFormat="1" applyFont="1" applyAlignment="1">
      <alignment horizontal="center" vertical="center"/>
    </xf>
    <xf numFmtId="171" fontId="100" fillId="0" borderId="0" xfId="0" applyNumberFormat="1" applyFont="1" applyAlignment="1">
      <alignment horizontal="center" vertical="center"/>
    </xf>
    <xf numFmtId="2" fontId="100" fillId="0" borderId="0" xfId="0" applyNumberFormat="1" applyFont="1" applyAlignment="1">
      <alignment horizontal="center" vertical="center" wrapText="1"/>
    </xf>
    <xf numFmtId="171" fontId="70" fillId="3" borderId="102" xfId="0" quotePrefix="1" applyNumberFormat="1" applyFont="1" applyFill="1" applyBorder="1" applyAlignment="1" applyProtection="1">
      <alignment horizontal="center" vertical="center" wrapText="1"/>
      <protection hidden="1"/>
    </xf>
    <xf numFmtId="0" fontId="92" fillId="0" borderId="101" xfId="0" applyFont="1" applyBorder="1" applyAlignment="1" applyProtection="1">
      <alignment horizontal="center" vertical="center" wrapText="1"/>
      <protection hidden="1"/>
    </xf>
    <xf numFmtId="10" fontId="94" fillId="0" borderId="102" xfId="8" applyNumberFormat="1" applyFont="1" applyFill="1" applyBorder="1" applyAlignment="1" applyProtection="1">
      <alignment horizontal="center" vertical="center" wrapText="1"/>
      <protection hidden="1"/>
    </xf>
    <xf numFmtId="0" fontId="71" fillId="3" borderId="124" xfId="0" applyFont="1" applyFill="1" applyBorder="1" applyAlignment="1" applyProtection="1">
      <alignment horizontal="center" vertical="center" wrapText="1"/>
      <protection hidden="1"/>
    </xf>
    <xf numFmtId="2" fontId="70" fillId="3" borderId="127" xfId="0" applyNumberFormat="1" applyFont="1" applyFill="1" applyBorder="1" applyAlignment="1" applyProtection="1">
      <alignment horizontal="center" vertical="center"/>
      <protection hidden="1"/>
    </xf>
    <xf numFmtId="0" fontId="86" fillId="6" borderId="128" xfId="0" applyFont="1" applyFill="1" applyBorder="1"/>
    <xf numFmtId="171" fontId="0" fillId="0" borderId="128" xfId="0" applyNumberFormat="1" applyBorder="1"/>
    <xf numFmtId="0" fontId="0" fillId="0" borderId="128" xfId="0" applyBorder="1"/>
    <xf numFmtId="165" fontId="0" fillId="0" borderId="128" xfId="0" applyNumberFormat="1" applyBorder="1"/>
    <xf numFmtId="176" fontId="0" fillId="0" borderId="128" xfId="8" applyNumberFormat="1" applyFont="1" applyBorder="1"/>
    <xf numFmtId="0" fontId="86" fillId="6" borderId="128" xfId="0" applyFont="1" applyFill="1" applyBorder="1" applyAlignment="1">
      <alignment horizontal="center"/>
    </xf>
    <xf numFmtId="4" fontId="0" fillId="0" borderId="128" xfId="0" applyNumberFormat="1" applyBorder="1"/>
    <xf numFmtId="165" fontId="0" fillId="0" borderId="0" xfId="0" applyNumberFormat="1"/>
    <xf numFmtId="177" fontId="0" fillId="0" borderId="0" xfId="0" applyNumberFormat="1"/>
    <xf numFmtId="0" fontId="0" fillId="0" borderId="129" xfId="0" applyBorder="1" applyAlignment="1">
      <alignment horizontal="center" vertical="center"/>
    </xf>
    <xf numFmtId="10" fontId="0" fillId="0" borderId="129" xfId="8" applyNumberFormat="1" applyFont="1" applyBorder="1" applyAlignment="1" applyProtection="1">
      <alignment horizontal="center" vertical="center"/>
    </xf>
    <xf numFmtId="165" fontId="0" fillId="0" borderId="129" xfId="1" applyNumberFormat="1" applyFont="1" applyBorder="1" applyAlignment="1" applyProtection="1">
      <alignment horizontal="center" vertical="center"/>
    </xf>
    <xf numFmtId="0" fontId="0" fillId="0" borderId="86" xfId="0" applyBorder="1" applyAlignment="1">
      <alignment horizontal="center" vertical="center"/>
    </xf>
    <xf numFmtId="171" fontId="0" fillId="0" borderId="88" xfId="0" applyNumberFormat="1" applyBorder="1" applyAlignment="1">
      <alignment horizontal="center" vertical="center"/>
    </xf>
    <xf numFmtId="10" fontId="0" fillId="0" borderId="0" xfId="8" applyNumberFormat="1" applyFont="1"/>
    <xf numFmtId="0" fontId="92" fillId="0" borderId="96" xfId="0" applyFont="1" applyBorder="1" applyAlignment="1" applyProtection="1">
      <alignment horizontal="center" vertical="center" wrapText="1"/>
      <protection hidden="1"/>
    </xf>
    <xf numFmtId="168" fontId="0" fillId="0" borderId="0" xfId="8" applyNumberFormat="1" applyFont="1" applyAlignment="1">
      <alignment horizontal="center" vertical="center"/>
    </xf>
    <xf numFmtId="174" fontId="100" fillId="0" borderId="0" xfId="0" applyNumberFormat="1" applyFont="1" applyAlignment="1">
      <alignment horizontal="center" vertical="center"/>
    </xf>
    <xf numFmtId="174" fontId="100" fillId="0" borderId="0" xfId="0" applyNumberFormat="1" applyFont="1"/>
    <xf numFmtId="174" fontId="100" fillId="0" borderId="0" xfId="0" applyNumberFormat="1" applyFont="1" applyAlignment="1">
      <alignment horizontal="center" vertical="center" wrapText="1"/>
    </xf>
    <xf numFmtId="0" fontId="100" fillId="0" borderId="0" xfId="0" applyFont="1" applyAlignment="1">
      <alignment horizontal="center"/>
    </xf>
    <xf numFmtId="0" fontId="0" fillId="2" borderId="0" xfId="0" applyFill="1" applyAlignment="1" applyProtection="1">
      <alignment vertical="center"/>
      <protection hidden="1"/>
    </xf>
    <xf numFmtId="0" fontId="85" fillId="2" borderId="0" xfId="0" applyFont="1" applyFill="1" applyAlignment="1" applyProtection="1">
      <alignment horizontal="left" vertical="center"/>
      <protection hidden="1"/>
    </xf>
    <xf numFmtId="171" fontId="100" fillId="0" borderId="0" xfId="0" applyNumberFormat="1" applyFont="1"/>
    <xf numFmtId="0" fontId="71" fillId="3" borderId="16" xfId="0" applyFont="1" applyFill="1" applyBorder="1" applyAlignment="1" applyProtection="1">
      <alignment horizontal="center" vertical="center" wrapText="1"/>
      <protection hidden="1"/>
    </xf>
    <xf numFmtId="0" fontId="92" fillId="0" borderId="16" xfId="0" applyFont="1" applyBorder="1" applyAlignment="1" applyProtection="1">
      <alignment horizontal="center" vertical="center" wrapText="1"/>
      <protection hidden="1"/>
    </xf>
    <xf numFmtId="174" fontId="101" fillId="0" borderId="17" xfId="0" applyNumberFormat="1" applyFont="1" applyBorder="1" applyAlignment="1" applyProtection="1">
      <alignment horizontal="center" vertical="center"/>
      <protection hidden="1"/>
    </xf>
    <xf numFmtId="174" fontId="89" fillId="3" borderId="17" xfId="0" applyNumberFormat="1" applyFont="1" applyFill="1" applyBorder="1" applyAlignment="1" applyProtection="1">
      <alignment horizontal="center" vertical="center"/>
      <protection hidden="1"/>
    </xf>
    <xf numFmtId="0" fontId="92" fillId="0" borderId="130" xfId="0" applyFont="1" applyBorder="1" applyAlignment="1" applyProtection="1">
      <alignment horizontal="center" vertical="center" wrapText="1"/>
      <protection hidden="1"/>
    </xf>
    <xf numFmtId="1" fontId="94" fillId="0" borderId="131" xfId="0" applyNumberFormat="1" applyFont="1" applyBorder="1" applyAlignment="1" applyProtection="1">
      <alignment horizontal="center" vertical="center"/>
      <protection hidden="1"/>
    </xf>
    <xf numFmtId="0" fontId="92" fillId="0" borderId="18" xfId="0" applyFont="1" applyBorder="1" applyAlignment="1" applyProtection="1">
      <alignment horizontal="center" vertical="center" wrapText="1"/>
      <protection hidden="1"/>
    </xf>
    <xf numFmtId="174" fontId="101" fillId="0" borderId="102" xfId="0" applyNumberFormat="1" applyFont="1" applyBorder="1" applyAlignment="1" applyProtection="1">
      <alignment horizontal="center" vertical="center"/>
      <protection hidden="1"/>
    </xf>
    <xf numFmtId="0" fontId="71" fillId="3" borderId="20" xfId="0" applyFont="1" applyFill="1" applyBorder="1" applyAlignment="1" applyProtection="1">
      <alignment horizontal="center" vertical="center" wrapText="1"/>
      <protection hidden="1"/>
    </xf>
    <xf numFmtId="1" fontId="93" fillId="0" borderId="126" xfId="0" applyNumberFormat="1" applyFont="1" applyBorder="1" applyAlignment="1" applyProtection="1">
      <alignment horizontal="center" vertical="center"/>
      <protection hidden="1"/>
    </xf>
    <xf numFmtId="0" fontId="6" fillId="4" borderId="0" xfId="0" applyFont="1" applyFill="1" applyAlignment="1">
      <alignment horizontal="center" vertical="center"/>
    </xf>
    <xf numFmtId="174" fontId="101" fillId="0" borderId="97" xfId="1" applyNumberFormat="1" applyFont="1" applyFill="1" applyBorder="1" applyAlignment="1" applyProtection="1">
      <alignment horizontal="center" vertical="center"/>
      <protection hidden="1"/>
    </xf>
    <xf numFmtId="174" fontId="94" fillId="0" borderId="19" xfId="0" applyNumberFormat="1" applyFont="1" applyBorder="1" applyAlignment="1" applyProtection="1">
      <alignment horizontal="center" vertical="center"/>
      <protection hidden="1"/>
    </xf>
    <xf numFmtId="174" fontId="70" fillId="3" borderId="102" xfId="0" applyNumberFormat="1" applyFont="1" applyFill="1" applyBorder="1" applyAlignment="1" applyProtection="1">
      <alignment horizontal="center" vertical="center" wrapText="1"/>
      <protection hidden="1"/>
    </xf>
    <xf numFmtId="174" fontId="70" fillId="3" borderId="126" xfId="0" applyNumberFormat="1" applyFont="1" applyFill="1" applyBorder="1" applyAlignment="1" applyProtection="1">
      <alignment horizontal="center" vertical="center" wrapText="1"/>
      <protection hidden="1"/>
    </xf>
    <xf numFmtId="174" fontId="70" fillId="3" borderId="17" xfId="0" applyNumberFormat="1" applyFont="1" applyFill="1" applyBorder="1" applyAlignment="1" applyProtection="1">
      <alignment horizontal="center" vertical="center"/>
      <protection hidden="1"/>
    </xf>
    <xf numFmtId="174" fontId="93" fillId="0" borderId="97" xfId="0" applyNumberFormat="1" applyFont="1" applyBorder="1" applyAlignment="1" applyProtection="1">
      <alignment horizontal="center" vertical="center" wrapText="1"/>
      <protection hidden="1"/>
    </xf>
    <xf numFmtId="174" fontId="93" fillId="0" borderId="102" xfId="0" applyNumberFormat="1" applyFont="1" applyBorder="1" applyAlignment="1" applyProtection="1">
      <alignment horizontal="center" vertical="center"/>
      <protection hidden="1"/>
    </xf>
    <xf numFmtId="174" fontId="70" fillId="3" borderId="102" xfId="0" applyNumberFormat="1" applyFont="1" applyFill="1" applyBorder="1" applyAlignment="1" applyProtection="1">
      <alignment horizontal="center" vertical="center"/>
      <protection hidden="1"/>
    </xf>
    <xf numFmtId="174" fontId="93" fillId="0" borderId="100" xfId="0" applyNumberFormat="1" applyFont="1" applyBorder="1" applyAlignment="1" applyProtection="1">
      <alignment horizontal="center" vertical="center" wrapText="1"/>
      <protection hidden="1"/>
    </xf>
    <xf numFmtId="174" fontId="102" fillId="0" borderId="17" xfId="0" applyNumberFormat="1" applyFont="1" applyBorder="1" applyAlignment="1" applyProtection="1">
      <alignment horizontal="center" vertical="center"/>
      <protection hidden="1"/>
    </xf>
    <xf numFmtId="174" fontId="102" fillId="0" borderId="17" xfId="1" applyNumberFormat="1" applyFont="1" applyFill="1" applyBorder="1" applyAlignment="1" applyProtection="1">
      <alignment horizontal="center" vertical="center"/>
      <protection hidden="1"/>
    </xf>
    <xf numFmtId="174" fontId="70" fillId="3" borderId="102" xfId="0" quotePrefix="1" applyNumberFormat="1" applyFont="1" applyFill="1" applyBorder="1" applyAlignment="1" applyProtection="1">
      <alignment horizontal="center" vertical="center" wrapText="1"/>
      <protection hidden="1"/>
    </xf>
    <xf numFmtId="174" fontId="93" fillId="0" borderId="100" xfId="0" quotePrefix="1" applyNumberFormat="1" applyFont="1" applyBorder="1" applyAlignment="1" applyProtection="1">
      <alignment horizontal="center" vertical="center" wrapText="1"/>
      <protection hidden="1"/>
    </xf>
    <xf numFmtId="174" fontId="94" fillId="0" borderId="100" xfId="0" applyNumberFormat="1" applyFont="1" applyBorder="1" applyAlignment="1" applyProtection="1">
      <alignment horizontal="center" vertical="center" wrapText="1"/>
      <protection hidden="1"/>
    </xf>
    <xf numFmtId="4" fontId="70" fillId="3" borderId="127" xfId="0" applyNumberFormat="1" applyFont="1" applyFill="1" applyBorder="1" applyAlignment="1" applyProtection="1">
      <alignment horizontal="center" vertical="center"/>
      <protection hidden="1"/>
    </xf>
    <xf numFmtId="0" fontId="92" fillId="0" borderId="106" xfId="0" applyFont="1" applyBorder="1" applyAlignment="1" applyProtection="1">
      <alignment horizontal="center" vertical="center" wrapText="1"/>
      <protection hidden="1"/>
    </xf>
    <xf numFmtId="174" fontId="94" fillId="0" borderId="107" xfId="0" applyNumberFormat="1" applyFont="1" applyBorder="1" applyAlignment="1" applyProtection="1">
      <alignment horizontal="center" vertical="center" wrapText="1"/>
      <protection hidden="1"/>
    </xf>
    <xf numFmtId="174" fontId="70" fillId="3" borderId="21" xfId="0" applyNumberFormat="1" applyFont="1" applyFill="1" applyBorder="1" applyAlignment="1" applyProtection="1">
      <alignment horizontal="center" vertical="center"/>
      <protection hidden="1"/>
    </xf>
    <xf numFmtId="174" fontId="94" fillId="0" borderId="97" xfId="0" applyNumberFormat="1" applyFont="1" applyBorder="1" applyAlignment="1" applyProtection="1">
      <alignment horizontal="center" vertical="center"/>
      <protection hidden="1"/>
    </xf>
    <xf numFmtId="174" fontId="93" fillId="0" borderId="19" xfId="0" applyNumberFormat="1" applyFont="1" applyBorder="1" applyAlignment="1" applyProtection="1">
      <alignment horizontal="center" vertical="center"/>
      <protection hidden="1"/>
    </xf>
    <xf numFmtId="0" fontId="109" fillId="2" borderId="0" xfId="0" applyFont="1" applyFill="1" applyAlignment="1" applyProtection="1">
      <alignment horizontal="center" vertical="center" wrapText="1"/>
      <protection hidden="1"/>
    </xf>
    <xf numFmtId="174" fontId="0" fillId="2" borderId="0" xfId="0" applyNumberFormat="1" applyFill="1" applyProtection="1">
      <protection hidden="1"/>
    </xf>
    <xf numFmtId="0" fontId="13" fillId="2" borderId="0" xfId="0" applyFont="1" applyFill="1" applyAlignment="1" applyProtection="1">
      <alignment horizontal="center" vertical="center" wrapText="1"/>
      <protection hidden="1"/>
    </xf>
    <xf numFmtId="174" fontId="93" fillId="0" borderId="133" xfId="0" applyNumberFormat="1" applyFont="1" applyBorder="1" applyAlignment="1" applyProtection="1">
      <alignment horizontal="center" vertical="center"/>
      <protection hidden="1"/>
    </xf>
    <xf numFmtId="0" fontId="13" fillId="2" borderId="0" xfId="0" applyFont="1" applyFill="1" applyAlignment="1" applyProtection="1">
      <alignment wrapText="1"/>
      <protection hidden="1"/>
    </xf>
    <xf numFmtId="0" fontId="3" fillId="0" borderId="0" xfId="0" applyFont="1" applyAlignment="1" applyProtection="1">
      <alignment horizontal="left"/>
      <protection hidden="1"/>
    </xf>
    <xf numFmtId="0" fontId="2" fillId="0" borderId="0" xfId="0" applyFont="1" applyAlignment="1" applyProtection="1">
      <alignment horizontal="left"/>
      <protection hidden="1"/>
    </xf>
    <xf numFmtId="0" fontId="16" fillId="4" borderId="78" xfId="0" applyFont="1" applyFill="1" applyBorder="1" applyAlignment="1" applyProtection="1">
      <alignment vertical="center"/>
      <protection hidden="1"/>
    </xf>
    <xf numFmtId="0" fontId="110" fillId="4" borderId="79" xfId="0" applyFont="1" applyFill="1" applyBorder="1" applyAlignment="1" applyProtection="1">
      <alignment horizontal="center" vertical="center"/>
      <protection locked="0" hidden="1"/>
    </xf>
    <xf numFmtId="0" fontId="65" fillId="0" borderId="0" xfId="0" quotePrefix="1" applyFont="1" applyAlignment="1" applyProtection="1">
      <alignment vertical="center" wrapText="1"/>
      <protection hidden="1"/>
    </xf>
    <xf numFmtId="0" fontId="18" fillId="2" borderId="0" xfId="0" applyFont="1" applyFill="1" applyAlignment="1" applyProtection="1">
      <alignment horizontal="center" vertical="center" wrapText="1"/>
      <protection hidden="1"/>
    </xf>
    <xf numFmtId="0" fontId="66" fillId="0" borderId="31" xfId="0" applyFont="1" applyBorder="1" applyAlignment="1" applyProtection="1">
      <alignment vertical="center"/>
      <protection hidden="1"/>
    </xf>
    <xf numFmtId="0" fontId="45" fillId="0" borderId="32" xfId="0" applyFont="1" applyBorder="1" applyAlignment="1" applyProtection="1">
      <alignment horizontal="center" vertical="center"/>
      <protection hidden="1"/>
    </xf>
    <xf numFmtId="0" fontId="66" fillId="0" borderId="33" xfId="0" applyFont="1" applyBorder="1" applyAlignment="1" applyProtection="1">
      <alignment vertical="center"/>
      <protection hidden="1"/>
    </xf>
    <xf numFmtId="171" fontId="45" fillId="0" borderId="34" xfId="0" applyNumberFormat="1" applyFont="1" applyBorder="1" applyAlignment="1" applyProtection="1">
      <alignment horizontal="center" vertical="center"/>
      <protection hidden="1"/>
    </xf>
    <xf numFmtId="0" fontId="66" fillId="0" borderId="35" xfId="0" applyFont="1" applyBorder="1" applyAlignment="1" applyProtection="1">
      <alignment vertical="center"/>
      <protection hidden="1"/>
    </xf>
    <xf numFmtId="171" fontId="45" fillId="0" borderId="37" xfId="0" applyNumberFormat="1" applyFont="1" applyBorder="1" applyAlignment="1" applyProtection="1">
      <alignment horizontal="center" vertical="center"/>
      <protection hidden="1"/>
    </xf>
    <xf numFmtId="0" fontId="73" fillId="0" borderId="0" xfId="0" applyFont="1" applyAlignment="1" applyProtection="1">
      <alignment horizontal="left" vertical="center" wrapText="1"/>
      <protection hidden="1"/>
    </xf>
    <xf numFmtId="0" fontId="112" fillId="2" borderId="0" xfId="0" applyFont="1" applyFill="1" applyProtection="1">
      <protection hidden="1"/>
    </xf>
    <xf numFmtId="174" fontId="111" fillId="3" borderId="30" xfId="0" applyNumberFormat="1" applyFont="1" applyFill="1" applyBorder="1" applyAlignment="1" applyProtection="1">
      <alignment vertical="center"/>
      <protection hidden="1"/>
    </xf>
    <xf numFmtId="174" fontId="111" fillId="3" borderId="21" xfId="0" applyNumberFormat="1" applyFont="1" applyFill="1" applyBorder="1" applyAlignment="1" applyProtection="1">
      <alignment vertical="center"/>
      <protection hidden="1"/>
    </xf>
    <xf numFmtId="0" fontId="86" fillId="6" borderId="136" xfId="0" applyFont="1" applyFill="1" applyBorder="1"/>
    <xf numFmtId="171" fontId="0" fillId="0" borderId="137" xfId="0" applyNumberFormat="1" applyBorder="1" applyAlignment="1">
      <alignment vertical="center"/>
    </xf>
    <xf numFmtId="171" fontId="0" fillId="0" borderId="88" xfId="0" applyNumberFormat="1" applyBorder="1"/>
    <xf numFmtId="0" fontId="92" fillId="0" borderId="132" xfId="0" applyFont="1" applyBorder="1" applyAlignment="1" applyProtection="1">
      <alignment vertical="center" wrapText="1"/>
      <protection hidden="1"/>
    </xf>
    <xf numFmtId="0" fontId="113" fillId="2" borderId="0" xfId="0" applyFont="1" applyFill="1" applyAlignment="1" applyProtection="1">
      <alignment horizontal="center" vertical="center" wrapText="1"/>
      <protection hidden="1"/>
    </xf>
    <xf numFmtId="174" fontId="93" fillId="0" borderId="0" xfId="0" applyNumberFormat="1" applyFont="1" applyAlignment="1" applyProtection="1">
      <alignment horizontal="center" vertical="center"/>
      <protection hidden="1"/>
    </xf>
    <xf numFmtId="10" fontId="93" fillId="0" borderId="97" xfId="0" applyNumberFormat="1" applyFont="1" applyBorder="1" applyAlignment="1" applyProtection="1">
      <alignment horizontal="center" vertical="center" wrapText="1"/>
      <protection hidden="1"/>
    </xf>
    <xf numFmtId="0" fontId="93" fillId="0" borderId="96" xfId="0" applyFont="1" applyBorder="1" applyAlignment="1" applyProtection="1">
      <alignment horizontal="center" vertical="center" wrapText="1"/>
      <protection hidden="1"/>
    </xf>
    <xf numFmtId="0" fontId="93" fillId="0" borderId="101" xfId="0" applyFont="1" applyBorder="1" applyAlignment="1" applyProtection="1">
      <alignment horizontal="center" vertical="center" wrapText="1"/>
      <protection hidden="1"/>
    </xf>
    <xf numFmtId="10" fontId="93" fillId="2" borderId="21" xfId="8" applyNumberFormat="1" applyFont="1" applyFill="1" applyBorder="1" applyAlignment="1" applyProtection="1">
      <alignment horizontal="center" vertical="center"/>
      <protection hidden="1"/>
    </xf>
    <xf numFmtId="174" fontId="94" fillId="0" borderId="139" xfId="0" applyNumberFormat="1" applyFont="1" applyBorder="1" applyAlignment="1" applyProtection="1">
      <alignment horizontal="center" vertical="center" wrapText="1"/>
      <protection hidden="1"/>
    </xf>
    <xf numFmtId="0" fontId="21" fillId="2" borderId="0" xfId="0" applyFont="1" applyFill="1" applyAlignment="1" applyProtection="1">
      <alignment horizontal="center" wrapText="1"/>
      <protection hidden="1"/>
    </xf>
    <xf numFmtId="174" fontId="106" fillId="3" borderId="21" xfId="0" applyNumberFormat="1" applyFont="1" applyFill="1" applyBorder="1" applyAlignment="1" applyProtection="1">
      <alignment horizontal="center" vertical="center"/>
      <protection hidden="1"/>
    </xf>
    <xf numFmtId="0" fontId="66" fillId="0" borderId="48" xfId="0" applyFont="1" applyBorder="1" applyAlignment="1" applyProtection="1">
      <alignment vertical="center"/>
      <protection hidden="1"/>
    </xf>
    <xf numFmtId="0" fontId="45" fillId="0" borderId="49" xfId="0" applyFont="1" applyBorder="1" applyAlignment="1" applyProtection="1">
      <alignment horizontal="center" vertical="center"/>
      <protection hidden="1"/>
    </xf>
    <xf numFmtId="0" fontId="0" fillId="0" borderId="0" xfId="0" applyAlignment="1" applyProtection="1">
      <alignment horizontal="center"/>
      <protection locked="0"/>
    </xf>
    <xf numFmtId="10" fontId="0" fillId="0" borderId="0" xfId="8" applyNumberFormat="1" applyFont="1" applyBorder="1" applyAlignment="1" applyProtection="1">
      <alignment horizontal="center" vertical="center"/>
    </xf>
    <xf numFmtId="165" fontId="0" fillId="0" borderId="0" xfId="1" applyNumberFormat="1" applyFont="1" applyBorder="1" applyAlignment="1" applyProtection="1">
      <alignment horizontal="center" vertical="center"/>
    </xf>
    <xf numFmtId="0" fontId="14" fillId="2" borderId="0" xfId="0" applyFont="1" applyFill="1" applyAlignment="1">
      <alignment horizontal="left" vertical="center" wrapText="1"/>
    </xf>
    <xf numFmtId="0" fontId="14" fillId="2" borderId="0" xfId="0" applyFont="1" applyFill="1" applyAlignment="1">
      <alignment horizontal="left"/>
    </xf>
    <xf numFmtId="2" fontId="47" fillId="0" borderId="32" xfId="0" applyNumberFormat="1" applyFont="1" applyBorder="1" applyAlignment="1" applyProtection="1">
      <alignment horizontal="center" vertical="center" wrapText="1"/>
      <protection locked="0"/>
    </xf>
    <xf numFmtId="0" fontId="14" fillId="2" borderId="0" xfId="0" applyFont="1" applyFill="1" applyAlignment="1">
      <alignment horizontal="left" vertical="center"/>
    </xf>
    <xf numFmtId="0" fontId="66" fillId="0" borderId="44" xfId="0" applyFont="1" applyBorder="1" applyAlignment="1" applyProtection="1">
      <alignment vertical="center"/>
      <protection hidden="1"/>
    </xf>
    <xf numFmtId="171" fontId="45" fillId="0" borderId="45" xfId="0" applyNumberFormat="1" applyFont="1" applyBorder="1" applyAlignment="1" applyProtection="1">
      <alignment horizontal="center" vertical="center"/>
      <protection hidden="1"/>
    </xf>
    <xf numFmtId="0" fontId="66" fillId="0" borderId="0" xfId="0" applyFont="1" applyAlignment="1" applyProtection="1">
      <alignment vertical="center"/>
      <protection hidden="1"/>
    </xf>
    <xf numFmtId="2" fontId="47" fillId="0" borderId="31" xfId="0" applyNumberFormat="1" applyFont="1" applyBorder="1" applyAlignment="1" applyProtection="1">
      <alignment horizontal="center" vertical="center" wrapText="1"/>
      <protection locked="0"/>
    </xf>
    <xf numFmtId="169" fontId="5" fillId="0" borderId="0" xfId="0" applyNumberFormat="1" applyFont="1" applyAlignment="1" applyProtection="1">
      <alignment vertical="center"/>
      <protection locked="0" hidden="1"/>
    </xf>
    <xf numFmtId="170" fontId="5" fillId="0" borderId="0" xfId="0" applyNumberFormat="1" applyFont="1" applyAlignment="1" applyProtection="1">
      <alignment vertical="center"/>
      <protection locked="0" hidden="1"/>
    </xf>
    <xf numFmtId="0" fontId="5" fillId="0" borderId="0" xfId="0" applyFont="1" applyAlignment="1" applyProtection="1">
      <alignment vertical="center"/>
      <protection locked="0" hidden="1"/>
    </xf>
    <xf numFmtId="2" fontId="82" fillId="3" borderId="35" xfId="0" applyNumberFormat="1" applyFont="1" applyFill="1" applyBorder="1" applyAlignment="1" applyProtection="1">
      <alignment horizontal="center" vertical="center" wrapText="1"/>
      <protection locked="0"/>
    </xf>
    <xf numFmtId="1" fontId="82" fillId="3" borderId="37" xfId="0" applyNumberFormat="1" applyFont="1" applyFill="1" applyBorder="1" applyAlignment="1" applyProtection="1">
      <alignment horizontal="center" vertical="center" wrapText="1"/>
      <protection locked="0"/>
    </xf>
    <xf numFmtId="1" fontId="82" fillId="3" borderId="35" xfId="0" applyNumberFormat="1" applyFont="1" applyFill="1" applyBorder="1" applyAlignment="1" applyProtection="1">
      <alignment horizontal="center" vertical="center" wrapText="1"/>
      <protection locked="0"/>
    </xf>
    <xf numFmtId="171" fontId="80" fillId="0" borderId="0" xfId="0" applyNumberFormat="1" applyFont="1" applyAlignment="1" applyProtection="1">
      <alignment vertical="center" wrapText="1"/>
      <protection hidden="1"/>
    </xf>
    <xf numFmtId="1" fontId="44" fillId="0" borderId="0" xfId="0" applyNumberFormat="1" applyFont="1" applyAlignment="1" applyProtection="1">
      <alignment horizontal="center" vertical="center" wrapText="1"/>
      <protection locked="0"/>
    </xf>
    <xf numFmtId="0" fontId="45" fillId="0" borderId="0" xfId="0" applyFont="1" applyAlignment="1" applyProtection="1">
      <alignment horizontal="center" vertical="center"/>
      <protection hidden="1"/>
    </xf>
    <xf numFmtId="179" fontId="14" fillId="2" borderId="73" xfId="7" applyNumberFormat="1" applyFont="1" applyFill="1" applyBorder="1" applyAlignment="1" applyProtection="1">
      <alignment horizontal="center" vertical="center"/>
      <protection hidden="1"/>
    </xf>
    <xf numFmtId="178" fontId="82" fillId="3" borderId="37" xfId="0" applyNumberFormat="1" applyFont="1" applyFill="1" applyBorder="1" applyAlignment="1" applyProtection="1">
      <alignment horizontal="center" vertical="center" wrapText="1"/>
      <protection locked="0"/>
    </xf>
    <xf numFmtId="0" fontId="6" fillId="3" borderId="0" xfId="0" applyFont="1" applyFill="1" applyAlignment="1" applyProtection="1">
      <alignment horizontal="center" vertical="center"/>
      <protection hidden="1"/>
    </xf>
    <xf numFmtId="171" fontId="89" fillId="3" borderId="0" xfId="0" applyNumberFormat="1" applyFont="1" applyFill="1" applyAlignment="1" applyProtection="1">
      <alignment horizontal="center" vertical="center" wrapText="1"/>
      <protection hidden="1"/>
    </xf>
    <xf numFmtId="171" fontId="70" fillId="3" borderId="0" xfId="0" applyNumberFormat="1" applyFont="1" applyFill="1" applyAlignment="1" applyProtection="1">
      <alignment horizontal="center" vertical="center" wrapText="1"/>
      <protection hidden="1"/>
    </xf>
    <xf numFmtId="0" fontId="5"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87" fillId="0" borderId="0" xfId="0" applyFont="1" applyAlignment="1">
      <alignment horizontal="left" vertical="center"/>
    </xf>
    <xf numFmtId="0" fontId="87" fillId="0" borderId="0" xfId="0" applyFont="1" applyAlignment="1">
      <alignment horizontal="center" vertical="center"/>
    </xf>
    <xf numFmtId="0" fontId="5" fillId="0" borderId="145" xfId="0" applyFont="1" applyBorder="1" applyAlignment="1">
      <alignment horizontal="center" vertical="center" wrapText="1"/>
    </xf>
    <xf numFmtId="0" fontId="5" fillId="0" borderId="146" xfId="0" applyFont="1" applyBorder="1" applyAlignment="1">
      <alignment horizontal="center" vertical="center" wrapText="1"/>
    </xf>
    <xf numFmtId="0" fontId="5" fillId="0" borderId="148" xfId="0" applyFont="1" applyBorder="1" applyAlignment="1">
      <alignment vertical="center" wrapText="1"/>
    </xf>
    <xf numFmtId="0" fontId="5" fillId="0" borderId="151" xfId="0" applyFont="1" applyBorder="1" applyAlignment="1">
      <alignment vertical="center" wrapText="1"/>
    </xf>
    <xf numFmtId="0" fontId="5" fillId="0" borderId="145" xfId="0" applyFont="1" applyBorder="1" applyAlignment="1">
      <alignment vertical="center" wrapText="1"/>
    </xf>
    <xf numFmtId="0" fontId="5" fillId="10" borderId="145" xfId="0" applyFont="1" applyFill="1" applyBorder="1" applyAlignment="1">
      <alignment vertical="center" wrapText="1"/>
    </xf>
    <xf numFmtId="0" fontId="5" fillId="10" borderId="148" xfId="0" applyFont="1" applyFill="1" applyBorder="1" applyAlignment="1">
      <alignment vertical="center" wrapText="1"/>
    </xf>
    <xf numFmtId="0" fontId="5" fillId="10" borderId="151" xfId="0" applyFont="1" applyFill="1" applyBorder="1" applyAlignment="1">
      <alignment vertical="center" wrapText="1"/>
    </xf>
    <xf numFmtId="2" fontId="5" fillId="10" borderId="149" xfId="0" applyNumberFormat="1" applyFont="1" applyFill="1" applyBorder="1" applyAlignment="1">
      <alignment horizontal="center" vertical="center" wrapText="1"/>
    </xf>
    <xf numFmtId="174" fontId="5" fillId="0" borderId="149" xfId="0" applyNumberFormat="1" applyFont="1" applyBorder="1" applyAlignment="1">
      <alignment horizontal="center" vertical="center" wrapText="1"/>
    </xf>
    <xf numFmtId="174" fontId="111" fillId="3" borderId="135" xfId="0" applyNumberFormat="1" applyFont="1" applyFill="1" applyBorder="1" applyAlignment="1" applyProtection="1">
      <alignment vertical="center"/>
      <protection hidden="1"/>
    </xf>
    <xf numFmtId="174" fontId="111" fillId="3" borderId="17" xfId="0" applyNumberFormat="1" applyFont="1" applyFill="1" applyBorder="1" applyAlignment="1" applyProtection="1">
      <alignment vertical="center"/>
      <protection hidden="1"/>
    </xf>
    <xf numFmtId="174" fontId="5" fillId="0" borderId="146" xfId="0" applyNumberFormat="1" applyFont="1" applyBorder="1" applyAlignment="1">
      <alignment horizontal="center" vertical="center" wrapText="1"/>
    </xf>
    <xf numFmtId="174" fontId="5" fillId="10" borderId="149" xfId="0" applyNumberFormat="1" applyFont="1" applyFill="1" applyBorder="1" applyAlignment="1">
      <alignment horizontal="center" vertical="center" wrapText="1"/>
    </xf>
    <xf numFmtId="174" fontId="111" fillId="0" borderId="0" xfId="0" applyNumberFormat="1" applyFont="1" applyAlignment="1" applyProtection="1">
      <alignment vertical="center"/>
      <protection hidden="1"/>
    </xf>
    <xf numFmtId="0" fontId="108" fillId="0" borderId="0" xfId="0" applyFont="1" applyAlignment="1" applyProtection="1">
      <alignment vertical="center"/>
      <protection hidden="1"/>
    </xf>
    <xf numFmtId="174" fontId="111" fillId="3" borderId="154" xfId="0" applyNumberFormat="1" applyFont="1" applyFill="1" applyBorder="1" applyAlignment="1" applyProtection="1">
      <alignment horizontal="center" vertical="center"/>
      <protection hidden="1"/>
    </xf>
    <xf numFmtId="9" fontId="111" fillId="3" borderId="21" xfId="8" applyFont="1" applyFill="1" applyBorder="1" applyAlignment="1" applyProtection="1">
      <alignment horizontal="center" vertical="center"/>
      <protection hidden="1"/>
    </xf>
    <xf numFmtId="0" fontId="120" fillId="3" borderId="130" xfId="0" applyFont="1" applyFill="1" applyBorder="1" applyAlignment="1" applyProtection="1">
      <alignment horizontal="center" vertical="center"/>
      <protection hidden="1"/>
    </xf>
    <xf numFmtId="174" fontId="120" fillId="3" borderId="20" xfId="0" applyNumberFormat="1" applyFont="1" applyFill="1" applyBorder="1" applyAlignment="1" applyProtection="1">
      <alignment horizontal="center" vertical="center"/>
      <protection hidden="1"/>
    </xf>
    <xf numFmtId="174" fontId="106" fillId="3" borderId="21" xfId="0" applyNumberFormat="1" applyFont="1" applyFill="1" applyBorder="1" applyAlignment="1" applyProtection="1">
      <alignment vertical="center"/>
      <protection hidden="1"/>
    </xf>
    <xf numFmtId="0" fontId="118" fillId="3" borderId="130" xfId="0" applyFont="1" applyFill="1" applyBorder="1" applyAlignment="1" applyProtection="1">
      <alignment horizontal="center" vertical="center"/>
      <protection hidden="1"/>
    </xf>
    <xf numFmtId="174" fontId="118" fillId="3" borderId="20" xfId="0" applyNumberFormat="1" applyFont="1" applyFill="1" applyBorder="1" applyAlignment="1" applyProtection="1">
      <alignment horizontal="center" vertical="center"/>
      <protection hidden="1"/>
    </xf>
    <xf numFmtId="0" fontId="87" fillId="0" borderId="0" xfId="0" applyFont="1" applyAlignment="1" applyProtection="1">
      <alignment horizontal="center" vertical="center"/>
      <protection hidden="1"/>
    </xf>
    <xf numFmtId="176" fontId="5" fillId="10" borderId="152" xfId="8" applyNumberFormat="1" applyFont="1" applyFill="1" applyBorder="1" applyAlignment="1">
      <alignment horizontal="center" vertical="center" wrapText="1"/>
    </xf>
    <xf numFmtId="0" fontId="87" fillId="0" borderId="0" xfId="0" applyFont="1" applyAlignment="1" applyProtection="1">
      <alignment horizontal="left" vertical="center"/>
      <protection hidden="1"/>
    </xf>
    <xf numFmtId="0" fontId="5" fillId="0" borderId="0" xfId="0" applyFont="1" applyAlignment="1" applyProtection="1">
      <alignment vertical="center" wrapText="1"/>
      <protection hidden="1"/>
    </xf>
    <xf numFmtId="174" fontId="5" fillId="0" borderId="0" xfId="0" applyNumberFormat="1" applyFont="1" applyAlignment="1" applyProtection="1">
      <alignment horizontal="center" vertical="center"/>
      <protection hidden="1"/>
    </xf>
    <xf numFmtId="0" fontId="5" fillId="0" borderId="0" xfId="0" applyFont="1" applyAlignment="1" applyProtection="1">
      <alignment horizontal="left" vertical="center"/>
      <protection hidden="1"/>
    </xf>
    <xf numFmtId="174" fontId="5" fillId="0" borderId="0" xfId="0" applyNumberFormat="1" applyFont="1" applyAlignment="1" applyProtection="1">
      <alignment horizontal="center" vertical="center" wrapText="1"/>
      <protection hidden="1"/>
    </xf>
    <xf numFmtId="0" fontId="5" fillId="0" borderId="145" xfId="0" applyFont="1" applyBorder="1" applyAlignment="1" applyProtection="1">
      <alignment horizontal="center" vertical="center" wrapText="1"/>
      <protection hidden="1"/>
    </xf>
    <xf numFmtId="174" fontId="123" fillId="0" borderId="146" xfId="0" applyNumberFormat="1" applyFont="1" applyBorder="1" applyAlignment="1" applyProtection="1">
      <alignment horizontal="center" vertical="center" wrapText="1"/>
      <protection hidden="1"/>
    </xf>
    <xf numFmtId="174" fontId="123" fillId="0" borderId="147" xfId="0" applyNumberFormat="1" applyFont="1" applyBorder="1" applyAlignment="1" applyProtection="1">
      <alignment horizontal="center" vertical="center" wrapText="1"/>
      <protection hidden="1"/>
    </xf>
    <xf numFmtId="0" fontId="123" fillId="10" borderId="145" xfId="0" applyFont="1" applyFill="1" applyBorder="1" applyAlignment="1" applyProtection="1">
      <alignment vertical="center" wrapText="1"/>
      <protection hidden="1"/>
    </xf>
    <xf numFmtId="0" fontId="5" fillId="0" borderId="0" xfId="0" applyFont="1" applyAlignment="1" applyProtection="1">
      <alignment horizontal="center" vertical="center" wrapText="1"/>
      <protection locked="0" hidden="1"/>
    </xf>
    <xf numFmtId="0" fontId="5" fillId="0" borderId="0" xfId="0" applyFont="1" applyAlignment="1" applyProtection="1">
      <alignment horizontal="center" vertical="center" wrapText="1"/>
      <protection hidden="1"/>
    </xf>
    <xf numFmtId="1" fontId="5" fillId="0" borderId="0" xfId="0" applyNumberFormat="1" applyFont="1" applyAlignment="1" applyProtection="1">
      <alignment horizontal="center" vertical="center" wrapText="1"/>
      <protection locked="0" hidden="1"/>
    </xf>
    <xf numFmtId="0" fontId="123" fillId="10" borderId="148" xfId="0" applyFont="1" applyFill="1" applyBorder="1" applyAlignment="1" applyProtection="1">
      <alignment vertical="center" wrapText="1"/>
      <protection hidden="1"/>
    </xf>
    <xf numFmtId="174" fontId="5" fillId="10" borderId="149" xfId="0" applyNumberFormat="1" applyFont="1" applyFill="1" applyBorder="1" applyAlignment="1" applyProtection="1">
      <alignment horizontal="center" vertical="center" wrapText="1"/>
      <protection locked="0" hidden="1"/>
    </xf>
    <xf numFmtId="174" fontId="5" fillId="10" borderId="160" xfId="0" applyNumberFormat="1" applyFont="1" applyFill="1" applyBorder="1" applyAlignment="1" applyProtection="1">
      <alignment horizontal="center" vertical="center" wrapText="1"/>
      <protection locked="0" hidden="1"/>
    </xf>
    <xf numFmtId="174" fontId="5" fillId="10" borderId="150" xfId="0" applyNumberFormat="1" applyFont="1" applyFill="1" applyBorder="1" applyAlignment="1" applyProtection="1">
      <alignment horizontal="center" vertical="center" wrapText="1"/>
      <protection locked="0" hidden="1"/>
    </xf>
    <xf numFmtId="174" fontId="5" fillId="0" borderId="0" xfId="0" applyNumberFormat="1" applyFont="1" applyAlignment="1" applyProtection="1">
      <alignment horizontal="center" vertical="center" wrapText="1"/>
      <protection locked="0" hidden="1"/>
    </xf>
    <xf numFmtId="174" fontId="5" fillId="0" borderId="0" xfId="0" applyNumberFormat="1" applyFont="1" applyAlignment="1" applyProtection="1">
      <alignment horizontal="center" vertical="center"/>
      <protection locked="0" hidden="1"/>
    </xf>
    <xf numFmtId="174" fontId="121" fillId="10" borderId="146" xfId="0" applyNumberFormat="1" applyFont="1" applyFill="1" applyBorder="1" applyAlignment="1" applyProtection="1">
      <alignment horizontal="center" vertical="center" wrapText="1"/>
      <protection locked="0" hidden="1"/>
    </xf>
    <xf numFmtId="174" fontId="121" fillId="10" borderId="159" xfId="0" applyNumberFormat="1" applyFont="1" applyFill="1" applyBorder="1" applyAlignment="1" applyProtection="1">
      <alignment horizontal="center" vertical="center" wrapText="1"/>
      <protection locked="0" hidden="1"/>
    </xf>
    <xf numFmtId="174" fontId="121" fillId="10" borderId="147" xfId="0" applyNumberFormat="1" applyFont="1" applyFill="1" applyBorder="1" applyAlignment="1" applyProtection="1">
      <alignment horizontal="center" vertical="center" wrapText="1"/>
      <protection locked="0" hidden="1"/>
    </xf>
    <xf numFmtId="174" fontId="121" fillId="0" borderId="0" xfId="0" applyNumberFormat="1" applyFont="1" applyAlignment="1" applyProtection="1">
      <alignment horizontal="center" vertical="center"/>
      <protection locked="0" hidden="1"/>
    </xf>
    <xf numFmtId="1" fontId="5" fillId="0" borderId="0" xfId="0" applyNumberFormat="1" applyFont="1" applyAlignment="1" applyProtection="1">
      <alignment horizontal="center" vertical="center"/>
      <protection locked="0" hidden="1"/>
    </xf>
    <xf numFmtId="9" fontId="121" fillId="0" borderId="0" xfId="8" applyFont="1" applyAlignment="1" applyProtection="1">
      <alignment horizontal="center" vertical="center"/>
      <protection locked="0" hidden="1"/>
    </xf>
    <xf numFmtId="9" fontId="5" fillId="0" borderId="0" xfId="8" applyFont="1" applyAlignment="1" applyProtection="1">
      <alignment horizontal="center" vertical="center"/>
      <protection locked="0" hidden="1"/>
    </xf>
    <xf numFmtId="174" fontId="121" fillId="10" borderId="149" xfId="0" applyNumberFormat="1" applyFont="1" applyFill="1" applyBorder="1" applyAlignment="1" applyProtection="1">
      <alignment horizontal="center" vertical="center" wrapText="1"/>
      <protection locked="0" hidden="1"/>
    </xf>
    <xf numFmtId="174" fontId="121" fillId="10" borderId="160" xfId="0" applyNumberFormat="1" applyFont="1" applyFill="1" applyBorder="1" applyAlignment="1" applyProtection="1">
      <alignment horizontal="center" vertical="center" wrapText="1"/>
      <protection locked="0" hidden="1"/>
    </xf>
    <xf numFmtId="174" fontId="121" fillId="10" borderId="150" xfId="0" applyNumberFormat="1" applyFont="1" applyFill="1" applyBorder="1" applyAlignment="1" applyProtection="1">
      <alignment horizontal="center" vertical="center" wrapText="1"/>
      <protection locked="0" hidden="1"/>
    </xf>
    <xf numFmtId="174" fontId="122" fillId="10" borderId="149" xfId="0" applyNumberFormat="1" applyFont="1" applyFill="1" applyBorder="1" applyAlignment="1" applyProtection="1">
      <alignment horizontal="center" vertical="center" wrapText="1"/>
      <protection locked="0" hidden="1"/>
    </xf>
    <xf numFmtId="174" fontId="122" fillId="10" borderId="160" xfId="0" applyNumberFormat="1" applyFont="1" applyFill="1" applyBorder="1" applyAlignment="1" applyProtection="1">
      <alignment horizontal="center" vertical="center" wrapText="1"/>
      <protection locked="0" hidden="1"/>
    </xf>
    <xf numFmtId="174" fontId="122" fillId="10" borderId="150" xfId="0" applyNumberFormat="1" applyFont="1" applyFill="1" applyBorder="1" applyAlignment="1" applyProtection="1">
      <alignment horizontal="center" vertical="center" wrapText="1"/>
      <protection locked="0" hidden="1"/>
    </xf>
    <xf numFmtId="174" fontId="122" fillId="0" borderId="0" xfId="0" applyNumberFormat="1" applyFont="1" applyAlignment="1" applyProtection="1">
      <alignment horizontal="center" vertical="center"/>
      <protection locked="0" hidden="1"/>
    </xf>
    <xf numFmtId="9" fontId="5" fillId="0" borderId="0" xfId="8" applyFont="1" applyAlignment="1" applyProtection="1">
      <alignment horizontal="center" vertical="center" wrapText="1"/>
      <protection hidden="1"/>
    </xf>
    <xf numFmtId="10" fontId="127" fillId="0" borderId="37" xfId="8" applyNumberFormat="1" applyFont="1" applyFill="1" applyBorder="1" applyAlignment="1" applyProtection="1">
      <alignment horizontal="center" vertical="center" wrapText="1"/>
      <protection hidden="1"/>
    </xf>
    <xf numFmtId="174" fontId="99" fillId="0" borderId="32" xfId="1" applyNumberFormat="1" applyFont="1" applyFill="1" applyBorder="1" applyAlignment="1" applyProtection="1">
      <alignment horizontal="center" vertical="center"/>
      <protection hidden="1"/>
    </xf>
    <xf numFmtId="174" fontId="99" fillId="0" borderId="34" xfId="1" applyNumberFormat="1" applyFont="1" applyFill="1" applyBorder="1" applyAlignment="1" applyProtection="1">
      <alignment horizontal="center" vertical="center"/>
      <protection hidden="1"/>
    </xf>
    <xf numFmtId="174" fontId="99" fillId="0" borderId="37" xfId="1" applyNumberFormat="1" applyFont="1" applyFill="1" applyBorder="1" applyAlignment="1" applyProtection="1">
      <alignment horizontal="center" vertical="center"/>
      <protection hidden="1"/>
    </xf>
    <xf numFmtId="174" fontId="89" fillId="3" borderId="32" xfId="0" applyNumberFormat="1" applyFont="1" applyFill="1" applyBorder="1" applyAlignment="1" applyProtection="1">
      <alignment horizontal="center" vertical="center" wrapText="1"/>
      <protection hidden="1"/>
    </xf>
    <xf numFmtId="174" fontId="70" fillId="3" borderId="71" xfId="0" applyNumberFormat="1" applyFont="1" applyFill="1" applyBorder="1" applyAlignment="1" applyProtection="1">
      <alignment horizontal="center" vertical="center" wrapText="1"/>
      <protection hidden="1"/>
    </xf>
    <xf numFmtId="0" fontId="123" fillId="2" borderId="148" xfId="0" applyFont="1" applyFill="1" applyBorder="1" applyAlignment="1" applyProtection="1">
      <alignment vertical="center" wrapText="1"/>
      <protection hidden="1"/>
    </xf>
    <xf numFmtId="174" fontId="5" fillId="2" borderId="149" xfId="0" applyNumberFormat="1" applyFont="1" applyFill="1" applyBorder="1" applyAlignment="1" applyProtection="1">
      <alignment horizontal="center" vertical="center" wrapText="1"/>
      <protection locked="0" hidden="1"/>
    </xf>
    <xf numFmtId="174" fontId="5" fillId="2" borderId="160" xfId="0" applyNumberFormat="1" applyFont="1" applyFill="1" applyBorder="1" applyAlignment="1" applyProtection="1">
      <alignment horizontal="center" vertical="center" wrapText="1"/>
      <protection locked="0" hidden="1"/>
    </xf>
    <xf numFmtId="174" fontId="5" fillId="2" borderId="150" xfId="0" applyNumberFormat="1" applyFont="1" applyFill="1" applyBorder="1" applyAlignment="1" applyProtection="1">
      <alignment horizontal="center" vertical="center" wrapText="1"/>
      <protection locked="0" hidden="1"/>
    </xf>
    <xf numFmtId="2" fontId="5" fillId="2" borderId="149" xfId="0" applyNumberFormat="1" applyFont="1" applyFill="1" applyBorder="1" applyAlignment="1" applyProtection="1">
      <alignment horizontal="center" vertical="center" wrapText="1"/>
      <protection locked="0" hidden="1"/>
    </xf>
    <xf numFmtId="2" fontId="5" fillId="2" borderId="160" xfId="0" applyNumberFormat="1" applyFont="1" applyFill="1" applyBorder="1" applyAlignment="1" applyProtection="1">
      <alignment horizontal="center" vertical="center" wrapText="1"/>
      <protection locked="0" hidden="1"/>
    </xf>
    <xf numFmtId="2" fontId="5" fillId="2" borderId="150" xfId="0" applyNumberFormat="1" applyFont="1" applyFill="1" applyBorder="1" applyAlignment="1" applyProtection="1">
      <alignment horizontal="center" vertical="center" wrapText="1"/>
      <protection locked="0" hidden="1"/>
    </xf>
    <xf numFmtId="174" fontId="121" fillId="2" borderId="149" xfId="0" applyNumberFormat="1" applyFont="1" applyFill="1" applyBorder="1" applyAlignment="1" applyProtection="1">
      <alignment horizontal="center" vertical="center" wrapText="1"/>
      <protection locked="0" hidden="1"/>
    </xf>
    <xf numFmtId="174" fontId="121" fillId="2" borderId="160" xfId="0" applyNumberFormat="1" applyFont="1" applyFill="1" applyBorder="1" applyAlignment="1" applyProtection="1">
      <alignment horizontal="center" vertical="center" wrapText="1"/>
      <protection locked="0" hidden="1"/>
    </xf>
    <xf numFmtId="174" fontId="121" fillId="2" borderId="150" xfId="0" applyNumberFormat="1" applyFont="1" applyFill="1" applyBorder="1" applyAlignment="1" applyProtection="1">
      <alignment horizontal="center" vertical="center" wrapText="1"/>
      <protection locked="0" hidden="1"/>
    </xf>
    <xf numFmtId="174" fontId="122" fillId="2" borderId="149" xfId="0" applyNumberFormat="1" applyFont="1" applyFill="1" applyBorder="1" applyAlignment="1" applyProtection="1">
      <alignment horizontal="center" vertical="center" wrapText="1"/>
      <protection locked="0" hidden="1"/>
    </xf>
    <xf numFmtId="174" fontId="122" fillId="2" borderId="160" xfId="0" applyNumberFormat="1" applyFont="1" applyFill="1" applyBorder="1" applyAlignment="1" applyProtection="1">
      <alignment horizontal="center" vertical="center" wrapText="1"/>
      <protection locked="0" hidden="1"/>
    </xf>
    <xf numFmtId="174" fontId="122" fillId="2" borderId="150" xfId="0" applyNumberFormat="1" applyFont="1" applyFill="1" applyBorder="1" applyAlignment="1" applyProtection="1">
      <alignment horizontal="center" vertical="center" wrapText="1"/>
      <protection locked="0" hidden="1"/>
    </xf>
    <xf numFmtId="0" fontId="123" fillId="0" borderId="171" xfId="0" applyFont="1" applyBorder="1" applyAlignment="1" applyProtection="1">
      <alignment vertical="center" wrapText="1"/>
      <protection hidden="1"/>
    </xf>
    <xf numFmtId="174" fontId="40" fillId="3" borderId="172" xfId="0" applyNumberFormat="1" applyFont="1" applyFill="1" applyBorder="1" applyAlignment="1">
      <alignment horizontal="center" vertical="center"/>
    </xf>
    <xf numFmtId="0" fontId="123" fillId="0" borderId="173" xfId="0" applyFont="1" applyBorder="1" applyAlignment="1" applyProtection="1">
      <alignment vertical="center" wrapText="1"/>
      <protection hidden="1"/>
    </xf>
    <xf numFmtId="174" fontId="40" fillId="3" borderId="174" xfId="0" applyNumberFormat="1" applyFont="1" applyFill="1" applyBorder="1" applyAlignment="1">
      <alignment horizontal="center" vertical="center"/>
    </xf>
    <xf numFmtId="0" fontId="123" fillId="0" borderId="175" xfId="0" applyFont="1" applyBorder="1" applyAlignment="1" applyProtection="1">
      <alignment vertical="center" wrapText="1"/>
      <protection hidden="1"/>
    </xf>
    <xf numFmtId="174" fontId="40" fillId="3" borderId="176" xfId="0" applyNumberFormat="1" applyFont="1" applyFill="1" applyBorder="1" applyAlignment="1">
      <alignment horizontal="center" vertical="center"/>
    </xf>
    <xf numFmtId="0" fontId="123" fillId="0" borderId="148" xfId="0" applyFont="1" applyBorder="1" applyAlignment="1" applyProtection="1">
      <alignment vertical="center" wrapText="1"/>
      <protection hidden="1"/>
    </xf>
    <xf numFmtId="14" fontId="5" fillId="0" borderId="78" xfId="0" applyNumberFormat="1" applyFont="1" applyBorder="1" applyAlignment="1" applyProtection="1">
      <alignment horizontal="center" vertical="center"/>
      <protection hidden="1"/>
    </xf>
    <xf numFmtId="14" fontId="5" fillId="0" borderId="84" xfId="0" applyNumberFormat="1" applyFont="1" applyBorder="1" applyAlignment="1" applyProtection="1">
      <alignment horizontal="center" vertical="center"/>
      <protection hidden="1"/>
    </xf>
    <xf numFmtId="14" fontId="5" fillId="0" borderId="80" xfId="0" applyNumberFormat="1" applyFont="1" applyBorder="1" applyAlignment="1" applyProtection="1">
      <alignment horizontal="center" vertical="center"/>
      <protection hidden="1"/>
    </xf>
    <xf numFmtId="14" fontId="5" fillId="0" borderId="15" xfId="0" applyNumberFormat="1" applyFont="1" applyBorder="1" applyAlignment="1" applyProtection="1">
      <alignment horizontal="center" vertical="center"/>
      <protection hidden="1"/>
    </xf>
    <xf numFmtId="14" fontId="5" fillId="0" borderId="85" xfId="0" applyNumberFormat="1" applyFont="1" applyBorder="1" applyAlignment="1" applyProtection="1">
      <alignment horizontal="center" vertical="center"/>
      <protection hidden="1"/>
    </xf>
    <xf numFmtId="2" fontId="121" fillId="0" borderId="0" xfId="0" applyNumberFormat="1" applyFont="1" applyAlignment="1" applyProtection="1">
      <alignment horizontal="center" vertical="center"/>
      <protection locked="0" hidden="1"/>
    </xf>
    <xf numFmtId="2" fontId="5" fillId="10" borderId="149" xfId="0" applyNumberFormat="1" applyFont="1" applyFill="1" applyBorder="1" applyAlignment="1" applyProtection="1">
      <alignment horizontal="center" vertical="center" wrapText="1"/>
      <protection locked="0" hidden="1"/>
    </xf>
    <xf numFmtId="2" fontId="5" fillId="10" borderId="160" xfId="0" applyNumberFormat="1" applyFont="1" applyFill="1" applyBorder="1" applyAlignment="1" applyProtection="1">
      <alignment horizontal="center" vertical="center" wrapText="1"/>
      <protection locked="0" hidden="1"/>
    </xf>
    <xf numFmtId="2" fontId="5" fillId="10" borderId="150" xfId="0" applyNumberFormat="1" applyFont="1" applyFill="1" applyBorder="1" applyAlignment="1" applyProtection="1">
      <alignment horizontal="center" vertical="center" wrapText="1"/>
      <protection locked="0" hidden="1"/>
    </xf>
    <xf numFmtId="171" fontId="70" fillId="3" borderId="28" xfId="0" applyNumberFormat="1" applyFont="1" applyFill="1" applyBorder="1" applyAlignment="1" applyProtection="1">
      <alignment horizontal="center" vertical="center" wrapText="1"/>
      <protection hidden="1"/>
    </xf>
    <xf numFmtId="171" fontId="57" fillId="3" borderId="28" xfId="0" applyNumberFormat="1" applyFont="1" applyFill="1" applyBorder="1" applyAlignment="1" applyProtection="1">
      <alignment horizontal="center" vertical="center" wrapText="1"/>
      <protection hidden="1"/>
    </xf>
    <xf numFmtId="10" fontId="0" fillId="0" borderId="0" xfId="8" applyNumberFormat="1" applyFont="1" applyFill="1"/>
    <xf numFmtId="0" fontId="0" fillId="0" borderId="0" xfId="0" applyAlignment="1">
      <alignment wrapText="1"/>
    </xf>
    <xf numFmtId="174" fontId="0" fillId="0" borderId="0" xfId="0" applyNumberFormat="1" applyAlignment="1">
      <alignment horizontal="center" vertical="center"/>
    </xf>
    <xf numFmtId="174" fontId="0" fillId="0" borderId="0" xfId="1" applyNumberFormat="1" applyFont="1" applyAlignment="1">
      <alignment horizontal="center" vertical="center"/>
    </xf>
    <xf numFmtId="1" fontId="93" fillId="0" borderId="100" xfId="0" applyNumberFormat="1" applyFont="1" applyBorder="1" applyAlignment="1" applyProtection="1">
      <alignment horizontal="center" vertical="center"/>
      <protection hidden="1"/>
    </xf>
    <xf numFmtId="0" fontId="123" fillId="10" borderId="151" xfId="0" applyFont="1" applyFill="1" applyBorder="1" applyAlignment="1" applyProtection="1">
      <alignment vertical="center" wrapText="1"/>
      <protection hidden="1"/>
    </xf>
    <xf numFmtId="0" fontId="100" fillId="0" borderId="0" xfId="0" applyFont="1" applyAlignment="1">
      <alignment horizontal="left" vertical="center"/>
    </xf>
    <xf numFmtId="0" fontId="0" fillId="0" borderId="0" xfId="0" applyAlignment="1" applyProtection="1">
      <alignment horizontal="left"/>
      <protection hidden="1"/>
    </xf>
    <xf numFmtId="0" fontId="0" fillId="0" borderId="0" xfId="0" applyAlignment="1" applyProtection="1">
      <alignment vertical="top"/>
      <protection hidden="1"/>
    </xf>
    <xf numFmtId="1" fontId="0" fillId="2" borderId="0" xfId="0" applyNumberFormat="1" applyFill="1" applyProtection="1">
      <protection hidden="1"/>
    </xf>
    <xf numFmtId="0" fontId="144" fillId="0" borderId="0" xfId="0" applyFont="1" applyAlignment="1" applyProtection="1">
      <alignment horizontal="center" vertical="center" wrapText="1"/>
      <protection hidden="1"/>
    </xf>
    <xf numFmtId="0" fontId="144" fillId="0" borderId="0" xfId="0" applyFont="1" applyAlignment="1" applyProtection="1">
      <alignment vertical="center" wrapText="1"/>
      <protection hidden="1"/>
    </xf>
    <xf numFmtId="0" fontId="23" fillId="3" borderId="114" xfId="0" applyFont="1" applyFill="1" applyBorder="1" applyAlignment="1" applyProtection="1">
      <alignment horizontal="center" vertical="center" wrapText="1"/>
      <protection hidden="1"/>
    </xf>
    <xf numFmtId="0" fontId="23" fillId="3" borderId="99" xfId="0" applyFont="1" applyFill="1" applyBorder="1" applyAlignment="1" applyProtection="1">
      <alignment horizontal="center" vertical="center" wrapText="1"/>
      <protection hidden="1"/>
    </xf>
    <xf numFmtId="0" fontId="23" fillId="3" borderId="115" xfId="0" applyFont="1" applyFill="1" applyBorder="1" applyAlignment="1" applyProtection="1">
      <alignment horizontal="center" vertical="center" wrapText="1"/>
      <protection hidden="1"/>
    </xf>
    <xf numFmtId="0" fontId="149" fillId="2" borderId="114" xfId="0" applyFont="1" applyFill="1" applyBorder="1" applyAlignment="1" applyProtection="1">
      <alignment horizontal="center" vertical="center" wrapText="1"/>
      <protection hidden="1"/>
    </xf>
    <xf numFmtId="171" fontId="98" fillId="2" borderId="99" xfId="1" applyNumberFormat="1" applyFont="1" applyFill="1" applyBorder="1" applyAlignment="1" applyProtection="1">
      <alignment horizontal="center" vertical="center"/>
      <protection hidden="1"/>
    </xf>
    <xf numFmtId="168" fontId="98" fillId="2" borderId="99" xfId="0" applyNumberFormat="1" applyFont="1" applyFill="1" applyBorder="1" applyAlignment="1" applyProtection="1">
      <alignment horizontal="center" vertical="center"/>
      <protection hidden="1"/>
    </xf>
    <xf numFmtId="1" fontId="98" fillId="2" borderId="99" xfId="0" applyNumberFormat="1" applyFont="1" applyFill="1" applyBorder="1" applyAlignment="1" applyProtection="1">
      <alignment horizontal="center" vertical="center"/>
      <protection hidden="1"/>
    </xf>
    <xf numFmtId="171" fontId="150" fillId="2" borderId="99" xfId="1" applyNumberFormat="1" applyFont="1" applyFill="1" applyBorder="1" applyAlignment="1" applyProtection="1">
      <alignment horizontal="center" vertical="center"/>
      <protection hidden="1"/>
    </xf>
    <xf numFmtId="171" fontId="98" fillId="2" borderId="115" xfId="1" applyNumberFormat="1" applyFont="1" applyFill="1" applyBorder="1" applyAlignment="1" applyProtection="1">
      <alignment horizontal="center" vertical="center"/>
      <protection hidden="1"/>
    </xf>
    <xf numFmtId="0" fontId="149" fillId="5" borderId="114" xfId="0" applyFont="1" applyFill="1" applyBorder="1" applyAlignment="1" applyProtection="1">
      <alignment horizontal="center" vertical="center"/>
      <protection hidden="1"/>
    </xf>
    <xf numFmtId="171" fontId="98" fillId="5" borderId="99" xfId="1" applyNumberFormat="1" applyFont="1" applyFill="1" applyBorder="1" applyAlignment="1" applyProtection="1">
      <alignment horizontal="center" vertical="center"/>
      <protection hidden="1"/>
    </xf>
    <xf numFmtId="168" fontId="98" fillId="5" borderId="99" xfId="0" applyNumberFormat="1" applyFont="1" applyFill="1" applyBorder="1" applyAlignment="1" applyProtection="1">
      <alignment horizontal="center" vertical="center"/>
      <protection hidden="1"/>
    </xf>
    <xf numFmtId="1" fontId="98" fillId="5" borderId="99" xfId="0" applyNumberFormat="1" applyFont="1" applyFill="1" applyBorder="1" applyAlignment="1" applyProtection="1">
      <alignment horizontal="center" vertical="center"/>
      <protection hidden="1"/>
    </xf>
    <xf numFmtId="171" fontId="150" fillId="5" borderId="99" xfId="1" applyNumberFormat="1" applyFont="1" applyFill="1" applyBorder="1" applyAlignment="1" applyProtection="1">
      <alignment horizontal="center" vertical="center"/>
      <protection hidden="1"/>
    </xf>
    <xf numFmtId="171" fontId="98" fillId="5" borderId="115" xfId="1" applyNumberFormat="1" applyFont="1" applyFill="1" applyBorder="1" applyAlignment="1" applyProtection="1">
      <alignment horizontal="center" vertical="center"/>
      <protection hidden="1"/>
    </xf>
    <xf numFmtId="0" fontId="149" fillId="2" borderId="114" xfId="0" applyFont="1" applyFill="1" applyBorder="1" applyAlignment="1" applyProtection="1">
      <alignment horizontal="center" vertical="center"/>
      <protection hidden="1"/>
    </xf>
    <xf numFmtId="0" fontId="149" fillId="2" borderId="111" xfId="0" applyFont="1" applyFill="1" applyBorder="1" applyAlignment="1" applyProtection="1">
      <alignment horizontal="center" vertical="center" wrapText="1"/>
      <protection hidden="1"/>
    </xf>
    <xf numFmtId="171" fontId="98" fillId="2" borderId="112" xfId="1" applyNumberFormat="1" applyFont="1" applyFill="1" applyBorder="1" applyAlignment="1" applyProtection="1">
      <alignment horizontal="center" vertical="center"/>
      <protection hidden="1"/>
    </xf>
    <xf numFmtId="168" fontId="98" fillId="2" borderId="112" xfId="0" applyNumberFormat="1" applyFont="1" applyFill="1" applyBorder="1" applyAlignment="1" applyProtection="1">
      <alignment horizontal="center" vertical="center"/>
      <protection hidden="1"/>
    </xf>
    <xf numFmtId="1" fontId="98" fillId="2" borderId="112" xfId="0" applyNumberFormat="1" applyFont="1" applyFill="1" applyBorder="1" applyAlignment="1" applyProtection="1">
      <alignment horizontal="center" vertical="center"/>
      <protection hidden="1"/>
    </xf>
    <xf numFmtId="171" fontId="150" fillId="2" borderId="112" xfId="1" applyNumberFormat="1" applyFont="1" applyFill="1" applyBorder="1" applyAlignment="1" applyProtection="1">
      <alignment horizontal="center" vertical="center"/>
      <protection hidden="1"/>
    </xf>
    <xf numFmtId="171" fontId="98" fillId="2" borderId="113" xfId="1" applyNumberFormat="1" applyFont="1" applyFill="1" applyBorder="1" applyAlignment="1" applyProtection="1">
      <alignment horizontal="center" vertical="center"/>
      <protection hidden="1"/>
    </xf>
    <xf numFmtId="174" fontId="70" fillId="3" borderId="21" xfId="0" applyNumberFormat="1" applyFont="1" applyFill="1" applyBorder="1" applyAlignment="1" applyProtection="1">
      <alignment horizontal="center" vertical="center" wrapText="1"/>
      <protection hidden="1"/>
    </xf>
    <xf numFmtId="0" fontId="8" fillId="2" borderId="0" xfId="0" applyFont="1" applyFill="1" applyAlignment="1" applyProtection="1">
      <alignment horizontal="right"/>
      <protection hidden="1"/>
    </xf>
    <xf numFmtId="0" fontId="152" fillId="2" borderId="0" xfId="0" applyFont="1" applyFill="1" applyProtection="1">
      <protection hidden="1"/>
    </xf>
    <xf numFmtId="166" fontId="152" fillId="2" borderId="0" xfId="1" applyFont="1" applyFill="1" applyBorder="1" applyProtection="1">
      <protection hidden="1"/>
    </xf>
    <xf numFmtId="174" fontId="153" fillId="2" borderId="0" xfId="1" applyNumberFormat="1" applyFont="1" applyFill="1" applyBorder="1" applyProtection="1">
      <protection hidden="1"/>
    </xf>
    <xf numFmtId="174" fontId="0" fillId="2" borderId="0" xfId="1" applyNumberFormat="1" applyFont="1" applyFill="1" applyBorder="1" applyProtection="1">
      <protection hidden="1"/>
    </xf>
    <xf numFmtId="14" fontId="5" fillId="0" borderId="0" xfId="0" applyNumberFormat="1" applyFont="1" applyAlignment="1" applyProtection="1">
      <alignment horizontal="center" vertical="center"/>
      <protection locked="0" hidden="1"/>
    </xf>
    <xf numFmtId="0" fontId="140" fillId="0" borderId="0" xfId="0" applyFont="1" applyAlignment="1" applyProtection="1">
      <alignment horizontal="left" vertical="center" wrapText="1"/>
      <protection hidden="1"/>
    </xf>
    <xf numFmtId="174" fontId="142" fillId="0" borderId="0" xfId="0" applyNumberFormat="1" applyFont="1" applyAlignment="1" applyProtection="1">
      <alignment horizontal="center" vertical="center" wrapText="1"/>
      <protection hidden="1"/>
    </xf>
    <xf numFmtId="174" fontId="5" fillId="0" borderId="196" xfId="0" applyNumberFormat="1" applyFont="1" applyBorder="1" applyAlignment="1" applyProtection="1">
      <alignment horizontal="center" vertical="center"/>
      <protection hidden="1"/>
    </xf>
    <xf numFmtId="174" fontId="5" fillId="10" borderId="196" xfId="0" applyNumberFormat="1" applyFont="1" applyFill="1" applyBorder="1" applyAlignment="1" applyProtection="1">
      <alignment horizontal="center" vertical="center"/>
      <protection hidden="1"/>
    </xf>
    <xf numFmtId="174" fontId="5" fillId="10" borderId="197" xfId="1" applyNumberFormat="1" applyFont="1" applyFill="1" applyBorder="1" applyAlignment="1" applyProtection="1">
      <alignment horizontal="center" vertical="center"/>
      <protection hidden="1"/>
    </xf>
    <xf numFmtId="174" fontId="5" fillId="0" borderId="197" xfId="1" applyNumberFormat="1" applyFont="1" applyBorder="1" applyAlignment="1" applyProtection="1">
      <alignment horizontal="center" vertical="center"/>
      <protection hidden="1"/>
    </xf>
    <xf numFmtId="174" fontId="5" fillId="0" borderId="197" xfId="1" applyNumberFormat="1" applyFont="1" applyFill="1" applyBorder="1" applyAlignment="1" applyProtection="1">
      <alignment horizontal="center" vertical="center"/>
      <protection hidden="1"/>
    </xf>
    <xf numFmtId="174" fontId="5" fillId="10" borderId="197" xfId="0" quotePrefix="1" applyNumberFormat="1" applyFont="1" applyFill="1" applyBorder="1" applyAlignment="1" applyProtection="1">
      <alignment horizontal="center" vertical="center"/>
      <protection hidden="1"/>
    </xf>
    <xf numFmtId="174" fontId="5" fillId="0" borderId="197" xfId="0" quotePrefix="1" applyNumberFormat="1" applyFont="1" applyBorder="1" applyAlignment="1" applyProtection="1">
      <alignment horizontal="center" vertical="center"/>
      <protection hidden="1"/>
    </xf>
    <xf numFmtId="174" fontId="5" fillId="0" borderId="198" xfId="0" applyNumberFormat="1" applyFont="1" applyBorder="1" applyAlignment="1" applyProtection="1">
      <alignment horizontal="center" vertical="center"/>
      <protection hidden="1"/>
    </xf>
    <xf numFmtId="174" fontId="5" fillId="0" borderId="199" xfId="0" quotePrefix="1" applyNumberFormat="1" applyFont="1" applyBorder="1" applyAlignment="1" applyProtection="1">
      <alignment horizontal="center" vertical="center"/>
      <protection hidden="1"/>
    </xf>
    <xf numFmtId="174" fontId="5" fillId="10" borderId="0" xfId="0" applyNumberFormat="1" applyFont="1" applyFill="1" applyAlignment="1" applyProtection="1">
      <alignment horizontal="center" vertical="center"/>
      <protection hidden="1"/>
    </xf>
    <xf numFmtId="1" fontId="5" fillId="10" borderId="0" xfId="0" applyNumberFormat="1" applyFont="1" applyFill="1" applyAlignment="1" applyProtection="1">
      <alignment horizontal="center" vertical="center"/>
      <protection hidden="1"/>
    </xf>
    <xf numFmtId="174" fontId="5" fillId="10" borderId="0" xfId="0" quotePrefix="1" applyNumberFormat="1" applyFont="1" applyFill="1" applyAlignment="1" applyProtection="1">
      <alignment horizontal="center" vertical="center"/>
      <protection hidden="1"/>
    </xf>
    <xf numFmtId="174" fontId="5" fillId="0" borderId="0" xfId="0" quotePrefix="1" applyNumberFormat="1" applyFont="1" applyAlignment="1" applyProtection="1">
      <alignment horizontal="center" vertical="center"/>
      <protection hidden="1"/>
    </xf>
    <xf numFmtId="0" fontId="142" fillId="12" borderId="145" xfId="0" applyFont="1" applyFill="1" applyBorder="1" applyAlignment="1" applyProtection="1">
      <alignment vertical="center" wrapText="1"/>
      <protection hidden="1"/>
    </xf>
    <xf numFmtId="174" fontId="158" fillId="12" borderId="146" xfId="0" applyNumberFormat="1" applyFont="1" applyFill="1" applyBorder="1" applyAlignment="1" applyProtection="1">
      <alignment horizontal="center" vertical="center" wrapText="1"/>
      <protection locked="0" hidden="1"/>
    </xf>
    <xf numFmtId="174" fontId="158" fillId="12" borderId="159" xfId="0" applyNumberFormat="1" applyFont="1" applyFill="1" applyBorder="1" applyAlignment="1" applyProtection="1">
      <alignment horizontal="center" vertical="center" wrapText="1"/>
      <protection locked="0" hidden="1"/>
    </xf>
    <xf numFmtId="174" fontId="158" fillId="12" borderId="147" xfId="0" applyNumberFormat="1" applyFont="1" applyFill="1" applyBorder="1" applyAlignment="1" applyProtection="1">
      <alignment horizontal="center" vertical="center" wrapText="1"/>
      <protection locked="0" hidden="1"/>
    </xf>
    <xf numFmtId="0" fontId="140" fillId="7" borderId="148" xfId="0" applyFont="1" applyFill="1" applyBorder="1" applyAlignment="1" applyProtection="1">
      <alignment vertical="center" wrapText="1"/>
      <protection hidden="1"/>
    </xf>
    <xf numFmtId="2" fontId="86" fillId="7" borderId="149" xfId="0" applyNumberFormat="1" applyFont="1" applyFill="1" applyBorder="1" applyAlignment="1" applyProtection="1">
      <alignment horizontal="center" vertical="center" wrapText="1"/>
      <protection locked="0" hidden="1"/>
    </xf>
    <xf numFmtId="2" fontId="86" fillId="7" borderId="160" xfId="0" applyNumberFormat="1" applyFont="1" applyFill="1" applyBorder="1" applyAlignment="1" applyProtection="1">
      <alignment horizontal="center" vertical="center" wrapText="1"/>
      <protection locked="0" hidden="1"/>
    </xf>
    <xf numFmtId="2" fontId="86" fillId="7" borderId="150" xfId="0" applyNumberFormat="1" applyFont="1" applyFill="1" applyBorder="1" applyAlignment="1" applyProtection="1">
      <alignment horizontal="center" vertical="center" wrapText="1"/>
      <protection locked="0" hidden="1"/>
    </xf>
    <xf numFmtId="14" fontId="156" fillId="2" borderId="0" xfId="0" applyNumberFormat="1" applyFont="1" applyFill="1" applyAlignment="1" applyProtection="1">
      <alignment horizontal="center" vertical="center"/>
      <protection locked="0" hidden="1"/>
    </xf>
    <xf numFmtId="0" fontId="0" fillId="2" borderId="0" xfId="0" applyFill="1" applyAlignment="1" applyProtection="1">
      <alignment horizontal="left"/>
      <protection hidden="1"/>
    </xf>
    <xf numFmtId="0" fontId="156" fillId="0" borderId="0" xfId="0" applyFont="1" applyAlignment="1" applyProtection="1">
      <alignment horizontal="left" vertical="center"/>
      <protection hidden="1"/>
    </xf>
    <xf numFmtId="0" fontId="156" fillId="0" borderId="0" xfId="0" applyFont="1" applyAlignment="1" applyProtection="1">
      <alignment horizontal="center" vertical="center"/>
      <protection hidden="1"/>
    </xf>
    <xf numFmtId="4" fontId="156" fillId="0" borderId="0" xfId="0" applyNumberFormat="1" applyFont="1" applyAlignment="1" applyProtection="1">
      <alignment horizontal="left" vertical="center"/>
      <protection hidden="1"/>
    </xf>
    <xf numFmtId="3" fontId="156" fillId="0" borderId="0" xfId="0" applyNumberFormat="1" applyFont="1" applyAlignment="1" applyProtection="1">
      <alignment horizontal="left" vertical="center"/>
      <protection hidden="1"/>
    </xf>
    <xf numFmtId="171" fontId="156" fillId="0" borderId="0" xfId="0" applyNumberFormat="1" applyFont="1" applyAlignment="1" applyProtection="1">
      <alignment horizontal="left" vertical="center"/>
      <protection hidden="1"/>
    </xf>
    <xf numFmtId="9" fontId="156" fillId="0" borderId="0" xfId="8" applyFont="1" applyBorder="1" applyAlignment="1" applyProtection="1">
      <alignment horizontal="left" vertical="center"/>
      <protection hidden="1"/>
    </xf>
    <xf numFmtId="171" fontId="156" fillId="0" borderId="0" xfId="1" applyNumberFormat="1" applyFont="1" applyBorder="1" applyAlignment="1" applyProtection="1">
      <alignment horizontal="left" vertical="center"/>
      <protection hidden="1"/>
    </xf>
    <xf numFmtId="171" fontId="134" fillId="2" borderId="0" xfId="0" applyNumberFormat="1" applyFont="1" applyFill="1" applyAlignment="1" applyProtection="1">
      <alignment horizontal="left" vertical="center"/>
      <protection hidden="1"/>
    </xf>
    <xf numFmtId="0" fontId="112" fillId="2" borderId="0" xfId="0" applyFont="1" applyFill="1" applyAlignment="1" applyProtection="1">
      <alignment horizontal="left" vertical="center"/>
      <protection hidden="1"/>
    </xf>
    <xf numFmtId="0" fontId="112" fillId="2" borderId="0" xfId="0" applyFont="1" applyFill="1" applyAlignment="1" applyProtection="1">
      <alignment horizontal="left"/>
      <protection hidden="1"/>
    </xf>
    <xf numFmtId="0" fontId="162" fillId="0" borderId="0" xfId="0" applyFont="1" applyAlignment="1" applyProtection="1">
      <alignment horizontal="center" vertical="center"/>
      <protection hidden="1"/>
    </xf>
    <xf numFmtId="0" fontId="160" fillId="2" borderId="0" xfId="0" applyFont="1" applyFill="1" applyAlignment="1" applyProtection="1">
      <alignment horizontal="center" vertical="center" wrapText="1"/>
      <protection hidden="1"/>
    </xf>
    <xf numFmtId="0" fontId="160" fillId="2" borderId="0" xfId="0" applyFont="1" applyFill="1" applyAlignment="1" applyProtection="1">
      <alignment horizontal="left" vertical="center" wrapText="1"/>
      <protection hidden="1"/>
    </xf>
    <xf numFmtId="171" fontId="157" fillId="0" borderId="0" xfId="1" applyNumberFormat="1" applyFont="1" applyBorder="1" applyAlignment="1" applyProtection="1">
      <alignment horizontal="left" vertical="center"/>
      <protection hidden="1"/>
    </xf>
    <xf numFmtId="14" fontId="5" fillId="10" borderId="150" xfId="8" applyNumberFormat="1" applyFont="1" applyFill="1" applyBorder="1" applyAlignment="1">
      <alignment horizontal="center" vertical="center" wrapText="1"/>
    </xf>
    <xf numFmtId="171" fontId="5" fillId="10" borderId="149" xfId="0" applyNumberFormat="1" applyFont="1" applyFill="1" applyBorder="1" applyAlignment="1" applyProtection="1">
      <alignment horizontal="center" vertical="center" wrapText="1"/>
      <protection locked="0" hidden="1"/>
    </xf>
    <xf numFmtId="171" fontId="5" fillId="10" borderId="160" xfId="0" applyNumberFormat="1" applyFont="1" applyFill="1" applyBorder="1" applyAlignment="1" applyProtection="1">
      <alignment horizontal="center" vertical="center" wrapText="1"/>
      <protection locked="0" hidden="1"/>
    </xf>
    <xf numFmtId="171" fontId="5" fillId="10" borderId="150" xfId="0" applyNumberFormat="1" applyFont="1" applyFill="1" applyBorder="1" applyAlignment="1" applyProtection="1">
      <alignment horizontal="center" vertical="center" wrapText="1"/>
      <protection locked="0" hidden="1"/>
    </xf>
    <xf numFmtId="0" fontId="165" fillId="2" borderId="0" xfId="0" applyFont="1" applyFill="1" applyAlignment="1" applyProtection="1">
      <alignment horizontal="left" vertical="center"/>
      <protection hidden="1"/>
    </xf>
    <xf numFmtId="0" fontId="165" fillId="2" borderId="0" xfId="0" applyFont="1" applyFill="1" applyAlignment="1" applyProtection="1">
      <alignment horizontal="left"/>
      <protection locked="0" hidden="1"/>
    </xf>
    <xf numFmtId="0" fontId="0" fillId="2" borderId="0" xfId="0" applyFill="1" applyAlignment="1" applyProtection="1">
      <alignment horizontal="center" vertical="center"/>
      <protection hidden="1"/>
    </xf>
    <xf numFmtId="0" fontId="165" fillId="2" borderId="0" xfId="0" applyFont="1" applyFill="1" applyProtection="1">
      <protection locked="0" hidden="1"/>
    </xf>
    <xf numFmtId="0" fontId="85" fillId="0" borderId="0" xfId="0" applyFont="1" applyAlignment="1" applyProtection="1">
      <alignment horizontal="center" vertical="center"/>
      <protection locked="0" hidden="1"/>
    </xf>
    <xf numFmtId="0" fontId="167" fillId="2" borderId="0" xfId="0" applyFont="1" applyFill="1" applyAlignment="1" applyProtection="1">
      <alignment horizontal="center" vertical="center"/>
      <protection locked="0" hidden="1"/>
    </xf>
    <xf numFmtId="0" fontId="165" fillId="2" borderId="0" xfId="0" applyFont="1" applyFill="1" applyAlignment="1" applyProtection="1">
      <alignment horizontal="center" vertical="center"/>
      <protection locked="0" hidden="1"/>
    </xf>
    <xf numFmtId="0" fontId="85" fillId="0" borderId="0" xfId="0" quotePrefix="1" applyFont="1" applyAlignment="1" applyProtection="1">
      <alignment vertical="center" wrapText="1"/>
      <protection hidden="1"/>
    </xf>
    <xf numFmtId="4" fontId="167" fillId="2" borderId="0" xfId="0" applyNumberFormat="1" applyFont="1" applyFill="1" applyAlignment="1" applyProtection="1">
      <alignment horizontal="center" vertical="center"/>
      <protection locked="0" hidden="1"/>
    </xf>
    <xf numFmtId="0" fontId="165" fillId="2" borderId="0" xfId="0" applyFont="1" applyFill="1" applyAlignment="1" applyProtection="1">
      <alignment wrapText="1"/>
      <protection hidden="1"/>
    </xf>
    <xf numFmtId="2" fontId="167" fillId="2" borderId="0" xfId="0" applyNumberFormat="1" applyFont="1" applyFill="1" applyAlignment="1" applyProtection="1">
      <alignment horizontal="center" vertical="center"/>
      <protection locked="0" hidden="1"/>
    </xf>
    <xf numFmtId="0" fontId="159" fillId="2" borderId="0" xfId="0" applyFont="1" applyFill="1" applyAlignment="1" applyProtection="1">
      <alignment horizontal="center" vertical="center"/>
      <protection locked="0" hidden="1"/>
    </xf>
    <xf numFmtId="0" fontId="165" fillId="2" borderId="0" xfId="0" applyFont="1" applyFill="1" applyAlignment="1" applyProtection="1">
      <alignment horizontal="left" vertical="center"/>
      <protection locked="0" hidden="1"/>
    </xf>
    <xf numFmtId="14" fontId="165" fillId="2" borderId="0" xfId="0" applyNumberFormat="1" applyFont="1" applyFill="1" applyAlignment="1" applyProtection="1">
      <alignment horizontal="center" vertical="center"/>
      <protection locked="0" hidden="1"/>
    </xf>
    <xf numFmtId="1" fontId="165" fillId="2" borderId="0" xfId="0" applyNumberFormat="1" applyFont="1" applyFill="1" applyAlignment="1" applyProtection="1">
      <alignment horizontal="center" vertical="center"/>
      <protection locked="0" hidden="1"/>
    </xf>
    <xf numFmtId="0" fontId="165" fillId="2" borderId="0" xfId="0" applyFont="1" applyFill="1" applyProtection="1">
      <protection hidden="1"/>
    </xf>
    <xf numFmtId="0" fontId="167" fillId="2" borderId="0" xfId="0" applyFont="1" applyFill="1" applyAlignment="1" applyProtection="1">
      <alignment horizontal="center" vertical="center"/>
      <protection hidden="1"/>
    </xf>
    <xf numFmtId="14" fontId="165" fillId="2" borderId="0" xfId="0" applyNumberFormat="1" applyFont="1" applyFill="1" applyAlignment="1" applyProtection="1">
      <alignment horizontal="center" vertical="center"/>
      <protection hidden="1"/>
    </xf>
    <xf numFmtId="0" fontId="165" fillId="2" borderId="0" xfId="0" applyFont="1" applyFill="1" applyAlignment="1" applyProtection="1">
      <alignment vertical="center" wrapText="1"/>
      <protection hidden="1"/>
    </xf>
    <xf numFmtId="0" fontId="156" fillId="2" borderId="0" xfId="0" applyFont="1" applyFill="1" applyAlignment="1" applyProtection="1">
      <alignment horizontal="left" vertical="center"/>
      <protection locked="0" hidden="1"/>
    </xf>
    <xf numFmtId="0" fontId="156" fillId="2" borderId="0" xfId="0" applyFont="1" applyFill="1" applyAlignment="1" applyProtection="1">
      <alignment horizontal="left"/>
      <protection locked="0" hidden="1"/>
    </xf>
    <xf numFmtId="0" fontId="156" fillId="2" borderId="0" xfId="0" applyFont="1" applyFill="1" applyProtection="1">
      <protection locked="0" hidden="1"/>
    </xf>
    <xf numFmtId="0" fontId="156" fillId="10" borderId="196" xfId="0" applyFont="1" applyFill="1" applyBorder="1" applyAlignment="1" applyProtection="1">
      <alignment horizontal="center" vertical="center" wrapText="1"/>
      <protection hidden="1"/>
    </xf>
    <xf numFmtId="0" fontId="156" fillId="10" borderId="177" xfId="0" applyFont="1" applyFill="1" applyBorder="1" applyAlignment="1" applyProtection="1">
      <alignment horizontal="center" vertical="center" wrapText="1"/>
      <protection hidden="1"/>
    </xf>
    <xf numFmtId="0" fontId="156" fillId="10" borderId="184" xfId="0" applyFont="1" applyFill="1" applyBorder="1" applyAlignment="1" applyProtection="1">
      <alignment horizontal="center" vertical="center" wrapText="1"/>
      <protection hidden="1"/>
    </xf>
    <xf numFmtId="0" fontId="156" fillId="2" borderId="213" xfId="0" applyFont="1" applyFill="1" applyBorder="1" applyAlignment="1" applyProtection="1">
      <alignment horizontal="center" vertical="center"/>
      <protection hidden="1"/>
    </xf>
    <xf numFmtId="0" fontId="156" fillId="2" borderId="204" xfId="0" applyFont="1" applyFill="1" applyBorder="1" applyAlignment="1" applyProtection="1">
      <alignment horizontal="center" vertical="center"/>
      <protection hidden="1"/>
    </xf>
    <xf numFmtId="9" fontId="156" fillId="2" borderId="205" xfId="8" applyFont="1" applyFill="1" applyBorder="1" applyAlignment="1" applyProtection="1">
      <alignment horizontal="center" vertical="center"/>
      <protection hidden="1"/>
    </xf>
    <xf numFmtId="0" fontId="156" fillId="2" borderId="177" xfId="0" applyFont="1" applyFill="1" applyBorder="1" applyAlignment="1" applyProtection="1">
      <alignment horizontal="center" vertical="center"/>
      <protection hidden="1"/>
    </xf>
    <xf numFmtId="9" fontId="156" fillId="2" borderId="184" xfId="8" applyFont="1" applyFill="1" applyBorder="1" applyAlignment="1" applyProtection="1">
      <alignment horizontal="center" vertical="center"/>
      <protection hidden="1"/>
    </xf>
    <xf numFmtId="0" fontId="156" fillId="2" borderId="185" xfId="0" applyFont="1" applyFill="1" applyBorder="1" applyAlignment="1" applyProtection="1">
      <alignment horizontal="center" vertical="center"/>
      <protection hidden="1"/>
    </xf>
    <xf numFmtId="9" fontId="156" fillId="2" borderId="186" xfId="8" applyFont="1" applyFill="1" applyBorder="1" applyAlignment="1" applyProtection="1">
      <alignment horizontal="center" vertical="center"/>
      <protection hidden="1"/>
    </xf>
    <xf numFmtId="0" fontId="95" fillId="0" borderId="0" xfId="0" applyFont="1" applyProtection="1">
      <protection hidden="1"/>
    </xf>
    <xf numFmtId="0" fontId="169" fillId="0" borderId="0" xfId="0" applyFont="1" applyAlignment="1" applyProtection="1">
      <alignment vertical="center" wrapText="1"/>
      <protection hidden="1"/>
    </xf>
    <xf numFmtId="0" fontId="117" fillId="0" borderId="0" xfId="0" applyFont="1" applyAlignment="1" applyProtection="1">
      <alignment vertical="center" wrapText="1"/>
      <protection hidden="1"/>
    </xf>
    <xf numFmtId="0" fontId="170" fillId="0" borderId="0" xfId="0" applyFont="1" applyAlignment="1" applyProtection="1">
      <alignment horizontal="center" vertical="center" wrapText="1"/>
      <protection hidden="1"/>
    </xf>
    <xf numFmtId="169" fontId="87" fillId="0" borderId="0" xfId="0" applyNumberFormat="1" applyFont="1" applyAlignment="1" applyProtection="1">
      <alignment horizontal="center" vertical="center"/>
      <protection hidden="1"/>
    </xf>
    <xf numFmtId="170" fontId="87" fillId="0" borderId="0" xfId="0" applyNumberFormat="1" applyFont="1" applyAlignment="1" applyProtection="1">
      <alignment horizontal="center" vertical="center"/>
      <protection hidden="1"/>
    </xf>
    <xf numFmtId="171" fontId="87" fillId="0" borderId="0" xfId="0" applyNumberFormat="1" applyFont="1" applyAlignment="1" applyProtection="1">
      <alignment horizontal="center" vertical="center"/>
      <protection hidden="1"/>
    </xf>
    <xf numFmtId="1" fontId="87" fillId="0" borderId="0" xfId="0" applyNumberFormat="1" applyFont="1" applyAlignment="1" applyProtection="1">
      <alignment horizontal="center" vertical="center"/>
      <protection hidden="1"/>
    </xf>
    <xf numFmtId="169" fontId="112" fillId="12" borderId="208" xfId="0" applyNumberFormat="1" applyFont="1" applyFill="1" applyBorder="1" applyAlignment="1" applyProtection="1">
      <alignment horizontal="center" vertical="center" wrapText="1"/>
      <protection hidden="1"/>
    </xf>
    <xf numFmtId="170" fontId="112" fillId="12" borderId="209" xfId="0" applyNumberFormat="1" applyFont="1" applyFill="1" applyBorder="1" applyAlignment="1" applyProtection="1">
      <alignment horizontal="center" vertical="center" wrapText="1"/>
      <protection hidden="1"/>
    </xf>
    <xf numFmtId="0" fontId="112" fillId="12" borderId="212" xfId="0" applyFont="1" applyFill="1" applyBorder="1" applyAlignment="1" applyProtection="1">
      <alignment horizontal="center" vertical="center" wrapText="1"/>
      <protection hidden="1"/>
    </xf>
    <xf numFmtId="0" fontId="112" fillId="11" borderId="208" xfId="0" applyFont="1" applyFill="1" applyBorder="1" applyAlignment="1" applyProtection="1">
      <alignment horizontal="center" vertical="center" wrapText="1"/>
      <protection hidden="1"/>
    </xf>
    <xf numFmtId="171" fontId="112" fillId="11" borderId="210" xfId="0" applyNumberFormat="1" applyFont="1" applyFill="1" applyBorder="1" applyAlignment="1" applyProtection="1">
      <alignment horizontal="center" vertical="center" wrapText="1"/>
      <protection hidden="1"/>
    </xf>
    <xf numFmtId="14" fontId="112" fillId="0" borderId="203" xfId="0" applyNumberFormat="1" applyFont="1" applyBorder="1" applyAlignment="1" applyProtection="1">
      <alignment horizontal="center" vertical="center"/>
      <protection locked="0"/>
    </xf>
    <xf numFmtId="14" fontId="112" fillId="0" borderId="204" xfId="0" applyNumberFormat="1" applyFont="1" applyBorder="1" applyAlignment="1" applyProtection="1">
      <alignment horizontal="center" vertical="center"/>
      <protection locked="0"/>
    </xf>
    <xf numFmtId="171" fontId="112" fillId="0" borderId="204" xfId="0" applyNumberFormat="1" applyFont="1" applyBorder="1" applyAlignment="1" applyProtection="1">
      <alignment horizontal="center" vertical="center"/>
      <protection locked="0"/>
    </xf>
    <xf numFmtId="2" fontId="112" fillId="0" borderId="204" xfId="0" applyNumberFormat="1" applyFont="1" applyBorder="1" applyAlignment="1" applyProtection="1">
      <alignment horizontal="center" vertical="center"/>
      <protection hidden="1"/>
    </xf>
    <xf numFmtId="171" fontId="112" fillId="0" borderId="205" xfId="0" applyNumberFormat="1" applyFont="1" applyBorder="1" applyAlignment="1" applyProtection="1">
      <alignment horizontal="center" vertical="center"/>
      <protection hidden="1"/>
    </xf>
    <xf numFmtId="14" fontId="112" fillId="0" borderId="206" xfId="0" applyNumberFormat="1" applyFont="1" applyBorder="1" applyAlignment="1" applyProtection="1">
      <alignment horizontal="center" vertical="center"/>
      <protection locked="0"/>
    </xf>
    <xf numFmtId="14" fontId="112" fillId="0" borderId="15" xfId="0" applyNumberFormat="1" applyFont="1" applyBorder="1" applyAlignment="1" applyProtection="1">
      <alignment horizontal="center" vertical="center"/>
      <protection locked="0"/>
    </xf>
    <xf numFmtId="171" fontId="112" fillId="0" borderId="15" xfId="0" applyNumberFormat="1" applyFont="1" applyBorder="1" applyAlignment="1" applyProtection="1">
      <alignment horizontal="center" vertical="center"/>
      <protection locked="0"/>
    </xf>
    <xf numFmtId="2" fontId="112" fillId="0" borderId="15" xfId="0" applyNumberFormat="1" applyFont="1" applyBorder="1" applyAlignment="1" applyProtection="1">
      <alignment horizontal="center" vertical="center"/>
      <protection hidden="1"/>
    </xf>
    <xf numFmtId="171" fontId="112" fillId="0" borderId="207" xfId="0" applyNumberFormat="1" applyFont="1" applyBorder="1" applyAlignment="1" applyProtection="1">
      <alignment horizontal="center" vertical="center"/>
      <protection hidden="1"/>
    </xf>
    <xf numFmtId="14" fontId="112" fillId="0" borderId="15" xfId="0" applyNumberFormat="1" applyFont="1" applyBorder="1" applyAlignment="1">
      <alignment horizontal="center" vertical="center"/>
    </xf>
    <xf numFmtId="14" fontId="112" fillId="0" borderId="208" xfId="0" applyNumberFormat="1" applyFont="1" applyBorder="1" applyAlignment="1" applyProtection="1">
      <alignment horizontal="center" vertical="center"/>
      <protection locked="0"/>
    </xf>
    <xf numFmtId="14" fontId="112" fillId="0" borderId="209" xfId="0" applyNumberFormat="1" applyFont="1" applyBorder="1" applyAlignment="1">
      <alignment horizontal="center" vertical="center"/>
    </xf>
    <xf numFmtId="171" fontId="112" fillId="0" borderId="209" xfId="0" applyNumberFormat="1" applyFont="1" applyBorder="1" applyAlignment="1" applyProtection="1">
      <alignment horizontal="center" vertical="center"/>
      <protection locked="0"/>
    </xf>
    <xf numFmtId="2" fontId="112" fillId="0" borderId="209" xfId="0" applyNumberFormat="1" applyFont="1" applyBorder="1" applyAlignment="1" applyProtection="1">
      <alignment horizontal="center" vertical="center"/>
      <protection hidden="1"/>
    </xf>
    <xf numFmtId="171" fontId="112" fillId="0" borderId="210" xfId="0" applyNumberFormat="1" applyFont="1" applyBorder="1" applyAlignment="1" applyProtection="1">
      <alignment horizontal="center" vertical="center"/>
      <protection hidden="1"/>
    </xf>
    <xf numFmtId="14" fontId="112" fillId="0" borderId="48" xfId="0" applyNumberFormat="1" applyFont="1" applyBorder="1" applyAlignment="1" applyProtection="1">
      <alignment horizontal="center" vertical="center"/>
      <protection locked="0"/>
    </xf>
    <xf numFmtId="14" fontId="112" fillId="0" borderId="211" xfId="0" applyNumberFormat="1" applyFont="1" applyBorder="1" applyAlignment="1">
      <alignment horizontal="center" vertical="center"/>
    </xf>
    <xf numFmtId="171" fontId="112" fillId="0" borderId="49" xfId="0" applyNumberFormat="1" applyFont="1" applyBorder="1" applyAlignment="1" applyProtection="1">
      <alignment horizontal="center" vertical="center"/>
      <protection locked="0"/>
    </xf>
    <xf numFmtId="2" fontId="112" fillId="0" borderId="48" xfId="0" applyNumberFormat="1" applyFont="1" applyBorder="1" applyAlignment="1" applyProtection="1">
      <alignment horizontal="center" vertical="center"/>
      <protection hidden="1"/>
    </xf>
    <xf numFmtId="171" fontId="112" fillId="0" borderId="49" xfId="0" applyNumberFormat="1" applyFont="1" applyBorder="1" applyAlignment="1" applyProtection="1">
      <alignment horizontal="center" vertical="center"/>
      <protection hidden="1"/>
    </xf>
    <xf numFmtId="14" fontId="112" fillId="0" borderId="33" xfId="0" applyNumberFormat="1" applyFont="1" applyBorder="1" applyAlignment="1" applyProtection="1">
      <alignment horizontal="center" vertical="center"/>
      <protection locked="0"/>
    </xf>
    <xf numFmtId="171" fontId="112" fillId="0" borderId="34" xfId="0" applyNumberFormat="1" applyFont="1" applyBorder="1" applyAlignment="1" applyProtection="1">
      <alignment horizontal="center" vertical="center"/>
      <protection locked="0"/>
    </xf>
    <xf numFmtId="2" fontId="112" fillId="0" borderId="33" xfId="0" applyNumberFormat="1" applyFont="1" applyBorder="1" applyAlignment="1" applyProtection="1">
      <alignment horizontal="center" vertical="center"/>
      <protection hidden="1"/>
    </xf>
    <xf numFmtId="171" fontId="112" fillId="0" borderId="34" xfId="0" applyNumberFormat="1" applyFont="1" applyBorder="1" applyAlignment="1" applyProtection="1">
      <alignment horizontal="center" vertical="center"/>
      <protection hidden="1"/>
    </xf>
    <xf numFmtId="14" fontId="112" fillId="0" borderId="35" xfId="0" applyNumberFormat="1" applyFont="1" applyBorder="1" applyAlignment="1" applyProtection="1">
      <alignment horizontal="center" vertical="center"/>
      <protection locked="0"/>
    </xf>
    <xf numFmtId="14" fontId="112" fillId="0" borderId="36" xfId="0" applyNumberFormat="1" applyFont="1" applyBorder="1" applyAlignment="1" applyProtection="1">
      <alignment horizontal="center" vertical="center"/>
      <protection locked="0"/>
    </xf>
    <xf numFmtId="171" fontId="112" fillId="0" borderId="37" xfId="0" applyNumberFormat="1" applyFont="1" applyBorder="1" applyAlignment="1" applyProtection="1">
      <alignment horizontal="center" vertical="center"/>
      <protection locked="0"/>
    </xf>
    <xf numFmtId="174" fontId="8" fillId="10" borderId="196" xfId="0" applyNumberFormat="1" applyFont="1" applyFill="1" applyBorder="1" applyAlignment="1" applyProtection="1">
      <alignment horizontal="center" vertical="center"/>
      <protection hidden="1"/>
    </xf>
    <xf numFmtId="174" fontId="5" fillId="0" borderId="0" xfId="0" applyNumberFormat="1" applyFont="1" applyAlignment="1" applyProtection="1">
      <alignment horizontal="left" vertical="center"/>
      <protection hidden="1"/>
    </xf>
    <xf numFmtId="171" fontId="172" fillId="3" borderId="183" xfId="0" applyNumberFormat="1" applyFont="1" applyFill="1" applyBorder="1" applyAlignment="1" applyProtection="1">
      <alignment horizontal="center" vertical="center"/>
      <protection hidden="1"/>
    </xf>
    <xf numFmtId="1" fontId="156" fillId="0" borderId="186" xfId="0" applyNumberFormat="1" applyFont="1" applyBorder="1" applyAlignment="1" applyProtection="1">
      <alignment horizontal="center" vertical="center"/>
      <protection hidden="1"/>
    </xf>
    <xf numFmtId="0" fontId="0" fillId="0" borderId="86" xfId="0" applyBorder="1"/>
    <xf numFmtId="0" fontId="0" fillId="0" borderId="88" xfId="0" applyBorder="1"/>
    <xf numFmtId="0" fontId="0" fillId="0" borderId="4" xfId="0" applyBorder="1"/>
    <xf numFmtId="0" fontId="0" fillId="0" borderId="1" xfId="0" applyBorder="1"/>
    <xf numFmtId="0" fontId="0" fillId="0" borderId="2" xfId="0" applyBorder="1"/>
    <xf numFmtId="0" fontId="0" fillId="0" borderId="13" xfId="0" applyBorder="1"/>
    <xf numFmtId="0" fontId="0" fillId="0" borderId="3" xfId="0" applyBorder="1"/>
    <xf numFmtId="0" fontId="0" fillId="0" borderId="6" xfId="0" applyBorder="1"/>
    <xf numFmtId="0" fontId="0" fillId="0" borderId="14" xfId="0" applyBorder="1"/>
    <xf numFmtId="0" fontId="0" fillId="0" borderId="5" xfId="0" applyBorder="1"/>
    <xf numFmtId="0" fontId="0" fillId="0" borderId="86" xfId="0" applyBorder="1" applyAlignment="1" applyProtection="1">
      <alignment horizontal="center"/>
      <protection locked="0"/>
    </xf>
    <xf numFmtId="0" fontId="0" fillId="0" borderId="87" xfId="0" applyBorder="1" applyAlignment="1" applyProtection="1">
      <alignment horizontal="center"/>
      <protection locked="0"/>
    </xf>
    <xf numFmtId="0" fontId="0" fillId="0" borderId="88" xfId="0" applyBorder="1" applyAlignment="1" applyProtection="1">
      <alignment horizontal="center"/>
      <protection locked="0"/>
    </xf>
    <xf numFmtId="0" fontId="0" fillId="3" borderId="0" xfId="0" applyFill="1" applyAlignment="1" applyProtection="1">
      <alignment horizontal="left"/>
      <protection hidden="1"/>
    </xf>
    <xf numFmtId="0" fontId="0" fillId="3" borderId="0" xfId="0" applyFill="1" applyProtection="1">
      <protection hidden="1"/>
    </xf>
    <xf numFmtId="0" fontId="108" fillId="10" borderId="0" xfId="0" applyFont="1" applyFill="1" applyAlignment="1" applyProtection="1">
      <alignment horizontal="center" vertical="center"/>
      <protection hidden="1"/>
    </xf>
    <xf numFmtId="0" fontId="0" fillId="10" borderId="0" xfId="0" applyFill="1" applyProtection="1">
      <protection hidden="1"/>
    </xf>
    <xf numFmtId="0" fontId="3" fillId="10" borderId="0" xfId="0" applyFont="1" applyFill="1" applyAlignment="1" applyProtection="1">
      <alignment horizontal="left"/>
      <protection hidden="1"/>
    </xf>
    <xf numFmtId="0" fontId="107" fillId="10" borderId="0" xfId="0" applyFont="1" applyFill="1" applyAlignment="1" applyProtection="1">
      <alignment vertical="center"/>
      <protection hidden="1"/>
    </xf>
    <xf numFmtId="0" fontId="175" fillId="0" borderId="0" xfId="0" applyFont="1" applyAlignment="1" applyProtection="1">
      <alignment vertical="center"/>
      <protection hidden="1"/>
    </xf>
    <xf numFmtId="0" fontId="0" fillId="2" borderId="0" xfId="0" applyFill="1" applyAlignment="1" applyProtection="1">
      <alignment vertical="top"/>
      <protection hidden="1"/>
    </xf>
    <xf numFmtId="0" fontId="0" fillId="3" borderId="178" xfId="0" applyFill="1" applyBorder="1" applyAlignment="1" applyProtection="1">
      <alignment horizontal="left"/>
      <protection hidden="1"/>
    </xf>
    <xf numFmtId="0" fontId="0" fillId="3" borderId="202" xfId="0" applyFill="1" applyBorder="1" applyAlignment="1" applyProtection="1">
      <alignment horizontal="left"/>
      <protection hidden="1"/>
    </xf>
    <xf numFmtId="0" fontId="0" fillId="3" borderId="195" xfId="0" applyFill="1" applyBorder="1" applyProtection="1">
      <protection hidden="1"/>
    </xf>
    <xf numFmtId="0" fontId="0" fillId="3" borderId="198" xfId="0" applyFill="1" applyBorder="1" applyAlignment="1" applyProtection="1">
      <alignment horizontal="left"/>
      <protection hidden="1"/>
    </xf>
    <xf numFmtId="0" fontId="0" fillId="3" borderId="201" xfId="0" applyFill="1" applyBorder="1" applyAlignment="1" applyProtection="1">
      <alignment horizontal="left"/>
      <protection hidden="1"/>
    </xf>
    <xf numFmtId="0" fontId="175" fillId="3" borderId="217" xfId="0" applyFont="1" applyFill="1" applyBorder="1" applyAlignment="1" applyProtection="1">
      <alignment vertical="center"/>
      <protection hidden="1"/>
    </xf>
    <xf numFmtId="0" fontId="0" fillId="3" borderId="193" xfId="0" applyFill="1" applyBorder="1" applyAlignment="1" applyProtection="1">
      <alignment horizontal="left"/>
      <protection hidden="1"/>
    </xf>
    <xf numFmtId="0" fontId="0" fillId="3" borderId="193" xfId="0" applyFill="1" applyBorder="1" applyProtection="1">
      <protection hidden="1"/>
    </xf>
    <xf numFmtId="0" fontId="0" fillId="3" borderId="217" xfId="0" applyFill="1" applyBorder="1" applyProtection="1">
      <protection hidden="1"/>
    </xf>
    <xf numFmtId="0" fontId="0" fillId="3" borderId="194" xfId="0" applyFill="1" applyBorder="1" applyAlignment="1" applyProtection="1">
      <alignment horizontal="left"/>
      <protection hidden="1"/>
    </xf>
    <xf numFmtId="0" fontId="0" fillId="3" borderId="196" xfId="0" applyFill="1" applyBorder="1" applyAlignment="1" applyProtection="1">
      <alignment horizontal="left"/>
      <protection hidden="1"/>
    </xf>
    <xf numFmtId="0" fontId="0" fillId="3" borderId="198" xfId="0" applyFill="1" applyBorder="1" applyAlignment="1" applyProtection="1">
      <alignment horizontal="left" vertical="top"/>
      <protection hidden="1"/>
    </xf>
    <xf numFmtId="0" fontId="0" fillId="3" borderId="199" xfId="0" applyFill="1" applyBorder="1" applyAlignment="1" applyProtection="1">
      <alignment vertical="top"/>
      <protection hidden="1"/>
    </xf>
    <xf numFmtId="0" fontId="0" fillId="3" borderId="197" xfId="0" applyFill="1" applyBorder="1" applyAlignment="1" applyProtection="1">
      <alignment horizontal="left"/>
      <protection hidden="1"/>
    </xf>
    <xf numFmtId="0" fontId="0" fillId="3" borderId="179" xfId="0" applyFill="1" applyBorder="1" applyProtection="1">
      <protection hidden="1"/>
    </xf>
    <xf numFmtId="0" fontId="141" fillId="3" borderId="179" xfId="0" applyFont="1" applyFill="1" applyBorder="1" applyAlignment="1" applyProtection="1">
      <alignment horizontal="center" vertical="center" wrapText="1"/>
      <protection hidden="1"/>
    </xf>
    <xf numFmtId="0" fontId="142" fillId="11" borderId="151" xfId="0" applyFont="1" applyFill="1" applyBorder="1" applyAlignment="1" applyProtection="1">
      <alignment vertical="center" wrapText="1"/>
      <protection hidden="1"/>
    </xf>
    <xf numFmtId="174" fontId="158" fillId="11" borderId="152" xfId="0" applyNumberFormat="1" applyFont="1" applyFill="1" applyBorder="1" applyAlignment="1" applyProtection="1">
      <alignment horizontal="center" vertical="center" wrapText="1"/>
      <protection locked="0" hidden="1"/>
    </xf>
    <xf numFmtId="174" fontId="158" fillId="11" borderId="161" xfId="0" applyNumberFormat="1" applyFont="1" applyFill="1" applyBorder="1" applyAlignment="1" applyProtection="1">
      <alignment horizontal="center" vertical="center" wrapText="1"/>
      <protection locked="0" hidden="1"/>
    </xf>
    <xf numFmtId="174" fontId="158" fillId="11" borderId="153" xfId="0" applyNumberFormat="1" applyFont="1" applyFill="1" applyBorder="1" applyAlignment="1" applyProtection="1">
      <alignment horizontal="center" vertical="center" wrapText="1"/>
      <protection locked="0" hidden="1"/>
    </xf>
    <xf numFmtId="0" fontId="5" fillId="0" borderId="143" xfId="0" applyFont="1" applyBorder="1" applyAlignment="1">
      <alignment horizontal="left" vertical="center"/>
    </xf>
    <xf numFmtId="3" fontId="5" fillId="10" borderId="147" xfId="0" applyNumberFormat="1" applyFont="1" applyFill="1" applyBorder="1" applyAlignment="1">
      <alignment horizontal="center" vertical="center" wrapText="1"/>
    </xf>
    <xf numFmtId="3" fontId="5" fillId="0" borderId="150" xfId="0" applyNumberFormat="1" applyFont="1" applyBorder="1" applyAlignment="1">
      <alignment horizontal="center" vertical="center" wrapText="1"/>
    </xf>
    <xf numFmtId="3" fontId="5" fillId="10" borderId="150" xfId="0" applyNumberFormat="1" applyFont="1" applyFill="1" applyBorder="1" applyAlignment="1">
      <alignment horizontal="center" vertical="center" wrapText="1"/>
    </xf>
    <xf numFmtId="171" fontId="5" fillId="0" borderId="153" xfId="1" applyNumberFormat="1" applyFont="1" applyBorder="1" applyAlignment="1">
      <alignment horizontal="center" vertical="center" wrapText="1"/>
    </xf>
    <xf numFmtId="174" fontId="5" fillId="10" borderId="147" xfId="0" applyNumberFormat="1" applyFont="1" applyFill="1" applyBorder="1" applyAlignment="1">
      <alignment horizontal="center" vertical="center" wrapText="1"/>
    </xf>
    <xf numFmtId="2" fontId="5" fillId="10" borderId="150" xfId="0" applyNumberFormat="1" applyFont="1" applyFill="1" applyBorder="1" applyAlignment="1">
      <alignment horizontal="center" vertical="center" wrapText="1"/>
    </xf>
    <xf numFmtId="1" fontId="5" fillId="0" borderId="150" xfId="0" applyNumberFormat="1" applyFont="1" applyBorder="1" applyAlignment="1">
      <alignment horizontal="center" vertical="center" wrapText="1"/>
    </xf>
    <xf numFmtId="171" fontId="5" fillId="10" borderId="150" xfId="0" applyNumberFormat="1" applyFont="1" applyFill="1" applyBorder="1" applyAlignment="1">
      <alignment horizontal="center" vertical="center" wrapText="1"/>
    </xf>
    <xf numFmtId="174" fontId="5" fillId="10" borderId="150" xfId="0" applyNumberFormat="1" applyFont="1" applyFill="1" applyBorder="1" applyAlignment="1">
      <alignment horizontal="center" vertical="center" wrapText="1"/>
    </xf>
    <xf numFmtId="174" fontId="5" fillId="0" borderId="150" xfId="0" applyNumberFormat="1" applyFont="1" applyBorder="1" applyAlignment="1">
      <alignment horizontal="center" vertical="center" wrapText="1"/>
    </xf>
    <xf numFmtId="9" fontId="5" fillId="10" borderId="150" xfId="0" applyNumberFormat="1" applyFont="1" applyFill="1" applyBorder="1" applyAlignment="1">
      <alignment horizontal="center" vertical="center" wrapText="1"/>
    </xf>
    <xf numFmtId="2" fontId="5" fillId="0" borderId="150" xfId="0" applyNumberFormat="1" applyFont="1" applyBorder="1" applyAlignment="1">
      <alignment horizontal="center" vertical="center" wrapText="1"/>
    </xf>
    <xf numFmtId="9" fontId="5" fillId="0" borderId="153" xfId="0" applyNumberFormat="1" applyFont="1" applyBorder="1" applyAlignment="1">
      <alignment horizontal="center" vertical="center" wrapText="1"/>
    </xf>
    <xf numFmtId="0" fontId="5" fillId="10" borderId="142" xfId="0" applyFont="1" applyFill="1" applyBorder="1" applyAlignment="1">
      <alignment vertical="center" wrapText="1"/>
    </xf>
    <xf numFmtId="0" fontId="5" fillId="10" borderId="143" xfId="0" applyFont="1" applyFill="1" applyBorder="1" applyAlignment="1">
      <alignment vertical="center" wrapText="1"/>
    </xf>
    <xf numFmtId="0" fontId="5" fillId="0" borderId="143" xfId="0" applyFont="1" applyBorder="1" applyAlignment="1">
      <alignment vertical="center" wrapText="1"/>
    </xf>
    <xf numFmtId="0" fontId="5" fillId="0" borderId="144" xfId="0" applyFont="1" applyBorder="1" applyAlignment="1">
      <alignment vertical="center" wrapText="1"/>
    </xf>
    <xf numFmtId="171" fontId="5" fillId="0" borderId="150" xfId="1" applyNumberFormat="1" applyFont="1" applyBorder="1" applyAlignment="1" applyProtection="1">
      <alignment horizontal="center" vertical="center"/>
    </xf>
    <xf numFmtId="164" fontId="5" fillId="10" borderId="149" xfId="0" applyNumberFormat="1" applyFont="1" applyFill="1" applyBorder="1" applyAlignment="1" applyProtection="1">
      <alignment horizontal="center" vertical="center" wrapText="1"/>
      <protection locked="0" hidden="1"/>
    </xf>
    <xf numFmtId="14" fontId="5" fillId="10" borderId="149" xfId="0" applyNumberFormat="1" applyFont="1" applyFill="1" applyBorder="1" applyAlignment="1" applyProtection="1">
      <alignment horizontal="center" vertical="center" wrapText="1"/>
      <protection locked="0" hidden="1"/>
    </xf>
    <xf numFmtId="14" fontId="5" fillId="10" borderId="150" xfId="0" applyNumberFormat="1" applyFont="1" applyFill="1" applyBorder="1" applyAlignment="1" applyProtection="1">
      <alignment horizontal="center" vertical="center" wrapText="1"/>
      <protection locked="0" hidden="1"/>
    </xf>
    <xf numFmtId="2" fontId="121" fillId="10" borderId="149" xfId="0" applyNumberFormat="1" applyFont="1" applyFill="1" applyBorder="1" applyAlignment="1" applyProtection="1">
      <alignment horizontal="center" vertical="center" wrapText="1"/>
      <protection locked="0" hidden="1"/>
    </xf>
    <xf numFmtId="2" fontId="121" fillId="10" borderId="160" xfId="0" applyNumberFormat="1" applyFont="1" applyFill="1" applyBorder="1" applyAlignment="1" applyProtection="1">
      <alignment horizontal="center" vertical="center" wrapText="1"/>
      <protection locked="0" hidden="1"/>
    </xf>
    <xf numFmtId="2" fontId="121" fillId="10" borderId="150" xfId="0" applyNumberFormat="1" applyFont="1" applyFill="1" applyBorder="1" applyAlignment="1" applyProtection="1">
      <alignment horizontal="center" vertical="center" wrapText="1"/>
      <protection locked="0" hidden="1"/>
    </xf>
    <xf numFmtId="9" fontId="5" fillId="10" borderId="152" xfId="8" applyFont="1" applyFill="1" applyBorder="1" applyAlignment="1" applyProtection="1">
      <alignment horizontal="center" vertical="center" wrapText="1"/>
      <protection locked="0" hidden="1"/>
    </xf>
    <xf numFmtId="9" fontId="5" fillId="10" borderId="161" xfId="8" applyFont="1" applyFill="1" applyBorder="1" applyAlignment="1" applyProtection="1">
      <alignment horizontal="center" vertical="center" wrapText="1"/>
      <protection locked="0" hidden="1"/>
    </xf>
    <xf numFmtId="9" fontId="5" fillId="10" borderId="153" xfId="8" applyFont="1" applyFill="1" applyBorder="1" applyAlignment="1" applyProtection="1">
      <alignment horizontal="center" vertical="center" wrapText="1"/>
      <protection locked="0" hidden="1"/>
    </xf>
    <xf numFmtId="171" fontId="5" fillId="0" borderId="149" xfId="0" applyNumberFormat="1" applyFont="1" applyBorder="1" applyAlignment="1" applyProtection="1">
      <alignment horizontal="center" vertical="center" wrapText="1"/>
      <protection locked="0" hidden="1"/>
    </xf>
    <xf numFmtId="171" fontId="5" fillId="0" borderId="160" xfId="0" applyNumberFormat="1" applyFont="1" applyBorder="1" applyAlignment="1" applyProtection="1">
      <alignment horizontal="center" vertical="center" wrapText="1"/>
      <protection locked="0" hidden="1"/>
    </xf>
    <xf numFmtId="171" fontId="5" fillId="0" borderId="150" xfId="0" applyNumberFormat="1" applyFont="1" applyBorder="1" applyAlignment="1" applyProtection="1">
      <alignment horizontal="center" vertical="center" wrapText="1"/>
      <protection locked="0" hidden="1"/>
    </xf>
    <xf numFmtId="174" fontId="5" fillId="0" borderId="149" xfId="0" applyNumberFormat="1" applyFont="1" applyBorder="1" applyAlignment="1" applyProtection="1">
      <alignment horizontal="center" vertical="center" wrapText="1"/>
      <protection locked="0" hidden="1"/>
    </xf>
    <xf numFmtId="174" fontId="5" fillId="0" borderId="160" xfId="0" applyNumberFormat="1" applyFont="1" applyBorder="1" applyAlignment="1" applyProtection="1">
      <alignment horizontal="center" vertical="center" wrapText="1"/>
      <protection locked="0" hidden="1"/>
    </xf>
    <xf numFmtId="174" fontId="5" fillId="0" borderId="150" xfId="0" applyNumberFormat="1" applyFont="1" applyBorder="1" applyAlignment="1" applyProtection="1">
      <alignment horizontal="center" vertical="center" wrapText="1"/>
      <protection locked="0" hidden="1"/>
    </xf>
    <xf numFmtId="0" fontId="123" fillId="0" borderId="145" xfId="0" applyFont="1" applyBorder="1" applyAlignment="1" applyProtection="1">
      <alignment vertical="center" wrapText="1"/>
      <protection hidden="1"/>
    </xf>
    <xf numFmtId="174" fontId="5" fillId="0" borderId="146" xfId="0" applyNumberFormat="1" applyFont="1" applyBorder="1" applyAlignment="1" applyProtection="1">
      <alignment horizontal="center" vertical="center" wrapText="1"/>
      <protection locked="0" hidden="1"/>
    </xf>
    <xf numFmtId="174" fontId="5" fillId="0" borderId="159" xfId="0" applyNumberFormat="1" applyFont="1" applyBorder="1" applyAlignment="1" applyProtection="1">
      <alignment horizontal="center" vertical="center" wrapText="1"/>
      <protection locked="0" hidden="1"/>
    </xf>
    <xf numFmtId="174" fontId="5" fillId="0" borderId="147" xfId="0" applyNumberFormat="1" applyFont="1" applyBorder="1" applyAlignment="1" applyProtection="1">
      <alignment horizontal="center" vertical="center" wrapText="1"/>
      <protection locked="0" hidden="1"/>
    </xf>
    <xf numFmtId="1" fontId="5" fillId="10" borderId="146" xfId="0" applyNumberFormat="1" applyFont="1" applyFill="1" applyBorder="1" applyAlignment="1" applyProtection="1">
      <alignment horizontal="center" vertical="center" wrapText="1"/>
      <protection locked="0" hidden="1"/>
    </xf>
    <xf numFmtId="1" fontId="5" fillId="10" borderId="159" xfId="0" applyNumberFormat="1" applyFont="1" applyFill="1" applyBorder="1" applyAlignment="1" applyProtection="1">
      <alignment horizontal="center" vertical="center" wrapText="1"/>
      <protection locked="0" hidden="1"/>
    </xf>
    <xf numFmtId="1" fontId="5" fillId="10" borderId="147" xfId="0" applyNumberFormat="1" applyFont="1" applyFill="1" applyBorder="1" applyAlignment="1" applyProtection="1">
      <alignment horizontal="center" vertical="center" wrapText="1"/>
      <protection locked="0" hidden="1"/>
    </xf>
    <xf numFmtId="3" fontId="124" fillId="0" borderId="150" xfId="0" applyNumberFormat="1" applyFont="1" applyBorder="1" applyAlignment="1" applyProtection="1">
      <alignment horizontal="center" vertical="center" wrapText="1"/>
      <protection locked="0" hidden="1"/>
    </xf>
    <xf numFmtId="1" fontId="86" fillId="10" borderId="149" xfId="0" applyNumberFormat="1" applyFont="1" applyFill="1" applyBorder="1" applyAlignment="1" applyProtection="1">
      <alignment horizontal="center" vertical="center" wrapText="1"/>
      <protection locked="0" hidden="1"/>
    </xf>
    <xf numFmtId="1" fontId="86" fillId="10" borderId="160" xfId="0" applyNumberFormat="1" applyFont="1" applyFill="1" applyBorder="1" applyAlignment="1" applyProtection="1">
      <alignment horizontal="center" vertical="center" wrapText="1"/>
      <protection locked="0" hidden="1"/>
    </xf>
    <xf numFmtId="1" fontId="86" fillId="10" borderId="150" xfId="0" applyNumberFormat="1" applyFont="1" applyFill="1" applyBorder="1" applyAlignment="1" applyProtection="1">
      <alignment horizontal="center" vertical="center" wrapText="1"/>
      <protection locked="0" hidden="1"/>
    </xf>
    <xf numFmtId="174" fontId="5" fillId="10" borderId="152" xfId="0" applyNumberFormat="1" applyFont="1" applyFill="1" applyBorder="1" applyAlignment="1" applyProtection="1">
      <alignment horizontal="center" vertical="center" wrapText="1"/>
      <protection locked="0" hidden="1"/>
    </xf>
    <xf numFmtId="174" fontId="5" fillId="10" borderId="153" xfId="0" applyNumberFormat="1" applyFont="1" applyFill="1" applyBorder="1" applyAlignment="1" applyProtection="1">
      <alignment horizontal="center" vertical="center" wrapText="1"/>
      <protection locked="0" hidden="1"/>
    </xf>
    <xf numFmtId="4" fontId="5" fillId="0" borderId="150" xfId="0" applyNumberFormat="1" applyFont="1" applyBorder="1" applyAlignment="1">
      <alignment horizontal="center" vertical="center" wrapText="1"/>
    </xf>
    <xf numFmtId="14" fontId="5" fillId="10" borderId="150" xfId="0" applyNumberFormat="1" applyFont="1" applyFill="1" applyBorder="1" applyAlignment="1">
      <alignment horizontal="center" vertical="center" wrapText="1"/>
    </xf>
    <xf numFmtId="0" fontId="5" fillId="2" borderId="143" xfId="0" applyFont="1" applyFill="1" applyBorder="1" applyAlignment="1">
      <alignment vertical="center" wrapText="1"/>
    </xf>
    <xf numFmtId="174" fontId="5" fillId="2" borderId="150" xfId="0" applyNumberFormat="1" applyFont="1" applyFill="1" applyBorder="1" applyAlignment="1">
      <alignment horizontal="center" vertical="center" wrapText="1"/>
    </xf>
    <xf numFmtId="0" fontId="5" fillId="2" borderId="143" xfId="0" applyFont="1" applyFill="1" applyBorder="1" applyAlignment="1">
      <alignment horizontal="left" vertical="center"/>
    </xf>
    <xf numFmtId="171" fontId="5" fillId="2" borderId="150" xfId="1" applyNumberFormat="1" applyFont="1" applyFill="1" applyBorder="1" applyAlignment="1" applyProtection="1">
      <alignment horizontal="center" vertical="center"/>
    </xf>
    <xf numFmtId="0" fontId="140" fillId="10" borderId="148" xfId="0" applyFont="1" applyFill="1" applyBorder="1" applyAlignment="1" applyProtection="1">
      <alignment vertical="center" wrapText="1"/>
      <protection hidden="1"/>
    </xf>
    <xf numFmtId="174" fontId="86" fillId="10" borderId="149" xfId="0" applyNumberFormat="1" applyFont="1" applyFill="1" applyBorder="1" applyAlignment="1" applyProtection="1">
      <alignment horizontal="center" vertical="center" wrapText="1"/>
      <protection locked="0" hidden="1"/>
    </xf>
    <xf numFmtId="174" fontId="86" fillId="10" borderId="160" xfId="0" applyNumberFormat="1" applyFont="1" applyFill="1" applyBorder="1" applyAlignment="1" applyProtection="1">
      <alignment horizontal="center" vertical="center" wrapText="1"/>
      <protection locked="0" hidden="1"/>
    </xf>
    <xf numFmtId="174" fontId="86" fillId="10" borderId="150" xfId="0" applyNumberFormat="1" applyFont="1" applyFill="1" applyBorder="1" applyAlignment="1" applyProtection="1">
      <alignment horizontal="center" vertical="center" wrapText="1"/>
      <protection locked="0" hidden="1"/>
    </xf>
    <xf numFmtId="14" fontId="5" fillId="2" borderId="149" xfId="0" applyNumberFormat="1" applyFont="1" applyFill="1" applyBorder="1" applyAlignment="1" applyProtection="1">
      <alignment horizontal="center" vertical="center" wrapText="1"/>
      <protection locked="0" hidden="1"/>
    </xf>
    <xf numFmtId="14" fontId="5" fillId="2" borderId="150" xfId="0" applyNumberFormat="1" applyFont="1" applyFill="1" applyBorder="1" applyAlignment="1" applyProtection="1">
      <alignment horizontal="center" vertical="center" wrapText="1"/>
      <protection locked="0" hidden="1"/>
    </xf>
    <xf numFmtId="3" fontId="5" fillId="2" borderId="149" xfId="0" applyNumberFormat="1" applyFont="1" applyFill="1" applyBorder="1" applyAlignment="1" applyProtection="1">
      <alignment horizontal="center" vertical="center" wrapText="1"/>
      <protection locked="0" hidden="1"/>
    </xf>
    <xf numFmtId="3" fontId="5" fillId="2" borderId="160" xfId="0" applyNumberFormat="1" applyFont="1" applyFill="1" applyBorder="1" applyAlignment="1" applyProtection="1">
      <alignment horizontal="center" vertical="center" wrapText="1"/>
      <protection locked="0" hidden="1"/>
    </xf>
    <xf numFmtId="3" fontId="5" fillId="2" borderId="150" xfId="0" applyNumberFormat="1" applyFont="1" applyFill="1" applyBorder="1" applyAlignment="1" applyProtection="1">
      <alignment horizontal="center" vertical="center" wrapText="1"/>
      <protection locked="0" hidden="1"/>
    </xf>
    <xf numFmtId="9" fontId="121" fillId="2" borderId="149" xfId="8" applyFont="1" applyFill="1" applyBorder="1" applyAlignment="1" applyProtection="1">
      <alignment horizontal="center" vertical="center" wrapText="1"/>
      <protection locked="0" hidden="1"/>
    </xf>
    <xf numFmtId="9" fontId="121" fillId="2" borderId="160" xfId="8" applyFont="1" applyFill="1" applyBorder="1" applyAlignment="1" applyProtection="1">
      <alignment horizontal="center" vertical="center" wrapText="1"/>
      <protection locked="0" hidden="1"/>
    </xf>
    <xf numFmtId="9" fontId="121" fillId="2" borderId="150" xfId="8" applyFont="1" applyFill="1" applyBorder="1" applyAlignment="1" applyProtection="1">
      <alignment horizontal="center" vertical="center" wrapText="1"/>
      <protection locked="0" hidden="1"/>
    </xf>
    <xf numFmtId="0" fontId="5" fillId="10" borderId="196" xfId="0" applyFont="1" applyFill="1" applyBorder="1" applyAlignment="1" applyProtection="1">
      <alignment horizontal="center" vertical="center"/>
      <protection hidden="1"/>
    </xf>
    <xf numFmtId="174" fontId="124" fillId="10" borderId="197" xfId="1" applyNumberFormat="1" applyFont="1" applyFill="1" applyBorder="1" applyAlignment="1" applyProtection="1">
      <alignment horizontal="center" vertical="center"/>
      <protection hidden="1"/>
    </xf>
    <xf numFmtId="0" fontId="5" fillId="0" borderId="196" xfId="0" applyFont="1" applyBorder="1" applyAlignment="1" applyProtection="1">
      <alignment horizontal="center" vertical="center"/>
      <protection hidden="1"/>
    </xf>
    <xf numFmtId="174" fontId="124" fillId="0" borderId="197" xfId="1" applyNumberFormat="1" applyFont="1" applyFill="1" applyBorder="1" applyAlignment="1" applyProtection="1">
      <alignment horizontal="center" vertical="center"/>
      <protection hidden="1"/>
    </xf>
    <xf numFmtId="174" fontId="124" fillId="10" borderId="197" xfId="0" quotePrefix="1" applyNumberFormat="1" applyFont="1" applyFill="1" applyBorder="1" applyAlignment="1" applyProtection="1">
      <alignment horizontal="center" vertical="center"/>
      <protection hidden="1"/>
    </xf>
    <xf numFmtId="174" fontId="124" fillId="0" borderId="197" xfId="0" quotePrefix="1" applyNumberFormat="1" applyFont="1" applyBorder="1" applyAlignment="1" applyProtection="1">
      <alignment horizontal="center" vertical="center"/>
      <protection hidden="1"/>
    </xf>
    <xf numFmtId="0" fontId="5" fillId="0" borderId="198" xfId="0" applyFont="1" applyBorder="1" applyAlignment="1" applyProtection="1">
      <alignment horizontal="center" vertical="center"/>
      <protection hidden="1"/>
    </xf>
    <xf numFmtId="1" fontId="5" fillId="0" borderId="189" xfId="0" applyNumberFormat="1" applyFont="1" applyBorder="1" applyAlignment="1" applyProtection="1">
      <alignment horizontal="center" vertical="center"/>
      <protection hidden="1"/>
    </xf>
    <xf numFmtId="174" fontId="5" fillId="0" borderId="189" xfId="0" applyNumberFormat="1" applyFont="1" applyBorder="1" applyAlignment="1" applyProtection="1">
      <alignment horizontal="center" vertical="center"/>
      <protection hidden="1"/>
    </xf>
    <xf numFmtId="174" fontId="5" fillId="0" borderId="189" xfId="0" quotePrefix="1" applyNumberFormat="1" applyFont="1" applyBorder="1" applyAlignment="1" applyProtection="1">
      <alignment horizontal="center" vertical="center"/>
      <protection hidden="1"/>
    </xf>
    <xf numFmtId="174" fontId="124" fillId="0" borderId="199" xfId="0" quotePrefix="1" applyNumberFormat="1" applyFont="1" applyBorder="1" applyAlignment="1" applyProtection="1">
      <alignment horizontal="center" vertical="center"/>
      <protection hidden="1"/>
    </xf>
    <xf numFmtId="174" fontId="5" fillId="0" borderId="197" xfId="0" applyNumberFormat="1" applyFont="1" applyBorder="1" applyAlignment="1" applyProtection="1">
      <alignment horizontal="center" vertical="center"/>
      <protection hidden="1"/>
    </xf>
    <xf numFmtId="174" fontId="124" fillId="0" borderId="197" xfId="0" applyNumberFormat="1" applyFont="1" applyBorder="1" applyAlignment="1" applyProtection="1">
      <alignment horizontal="center" vertical="center"/>
      <protection hidden="1"/>
    </xf>
    <xf numFmtId="0" fontId="116" fillId="3" borderId="178" xfId="0" applyFont="1" applyFill="1" applyBorder="1" applyAlignment="1" applyProtection="1">
      <alignment horizontal="center" vertical="center" wrapText="1"/>
      <protection hidden="1"/>
    </xf>
    <xf numFmtId="0" fontId="116" fillId="3" borderId="217" xfId="0" applyFont="1" applyFill="1" applyBorder="1" applyAlignment="1" applyProtection="1">
      <alignment horizontal="center" vertical="center" wrapText="1"/>
      <protection hidden="1"/>
    </xf>
    <xf numFmtId="0" fontId="116" fillId="3" borderId="179" xfId="0" applyFont="1" applyFill="1" applyBorder="1" applyAlignment="1" applyProtection="1">
      <alignment horizontal="center" vertical="center" wrapText="1"/>
      <protection hidden="1"/>
    </xf>
    <xf numFmtId="174" fontId="135" fillId="10" borderId="193" xfId="0" applyNumberFormat="1" applyFont="1" applyFill="1" applyBorder="1" applyAlignment="1" applyProtection="1">
      <alignment horizontal="center" vertical="center" wrapText="1"/>
      <protection hidden="1"/>
    </xf>
    <xf numFmtId="3" fontId="140" fillId="0" borderId="0" xfId="0" quotePrefix="1" applyNumberFormat="1" applyFont="1" applyAlignment="1" applyProtection="1">
      <alignment horizontal="center" vertical="center" wrapText="1"/>
      <protection locked="0" hidden="1"/>
    </xf>
    <xf numFmtId="171" fontId="14" fillId="14" borderId="0" xfId="0" applyNumberFormat="1" applyFont="1" applyFill="1"/>
    <xf numFmtId="0" fontId="13" fillId="2" borderId="0" xfId="0" applyFont="1" applyFill="1" applyAlignment="1" applyProtection="1">
      <alignment horizontal="left" vertical="center" wrapText="1"/>
      <protection hidden="1"/>
    </xf>
    <xf numFmtId="3" fontId="142" fillId="0" borderId="149" xfId="0" applyNumberFormat="1" applyFont="1" applyBorder="1" applyAlignment="1" applyProtection="1">
      <alignment horizontal="center" vertical="center" wrapText="1"/>
      <protection locked="0" hidden="1"/>
    </xf>
    <xf numFmtId="3" fontId="142" fillId="0" borderId="160" xfId="0" applyNumberFormat="1" applyFont="1" applyBorder="1" applyAlignment="1" applyProtection="1">
      <alignment horizontal="center" vertical="center" wrapText="1"/>
      <protection locked="0" hidden="1"/>
    </xf>
    <xf numFmtId="164" fontId="121" fillId="0" borderId="0" xfId="8" applyNumberFormat="1" applyFont="1" applyAlignment="1" applyProtection="1">
      <alignment horizontal="center" vertical="center"/>
      <protection locked="0" hidden="1"/>
    </xf>
    <xf numFmtId="0" fontId="36" fillId="0" borderId="0" xfId="4"/>
    <xf numFmtId="0" fontId="0" fillId="0" borderId="0" xfId="0" applyAlignment="1">
      <alignment horizontal="left" vertical="top"/>
    </xf>
    <xf numFmtId="0" fontId="36" fillId="0" borderId="0" xfId="4" applyAlignment="1">
      <alignment horizontal="left" vertical="top"/>
    </xf>
    <xf numFmtId="0" fontId="0" fillId="0" borderId="0" xfId="0" applyAlignment="1">
      <alignment vertical="center"/>
    </xf>
    <xf numFmtId="0" fontId="36" fillId="0" borderId="0" xfId="4" applyAlignment="1">
      <alignment vertical="center"/>
    </xf>
    <xf numFmtId="0" fontId="179" fillId="0" borderId="222" xfId="4" applyFont="1" applyBorder="1" applyAlignment="1">
      <alignment horizontal="center" vertical="center"/>
    </xf>
    <xf numFmtId="0" fontId="0" fillId="0" borderId="0" xfId="0" applyAlignment="1">
      <alignment horizontal="left" vertical="center"/>
    </xf>
    <xf numFmtId="0" fontId="36" fillId="0" borderId="0" xfId="4" applyAlignment="1">
      <alignment horizontal="left" vertical="center"/>
    </xf>
    <xf numFmtId="171" fontId="182" fillId="3" borderId="223" xfId="0" applyNumberFormat="1" applyFont="1" applyFill="1" applyBorder="1" applyAlignment="1">
      <alignment horizontal="center" vertical="top" wrapText="1"/>
    </xf>
    <xf numFmtId="0" fontId="36" fillId="0" borderId="0" xfId="4" applyAlignment="1">
      <alignment horizontal="center" vertical="center"/>
    </xf>
    <xf numFmtId="0" fontId="186" fillId="0" borderId="0" xfId="4" applyFont="1" applyAlignment="1">
      <alignment horizontal="center" vertical="center"/>
    </xf>
    <xf numFmtId="171" fontId="187" fillId="3" borderId="223" xfId="0" applyNumberFormat="1" applyFont="1" applyFill="1" applyBorder="1" applyAlignment="1">
      <alignment vertical="top" wrapText="1"/>
    </xf>
    <xf numFmtId="171" fontId="190" fillId="3" borderId="223" xfId="3" applyNumberFormat="1" applyFont="1" applyFill="1" applyBorder="1" applyAlignment="1">
      <alignment horizontal="center" wrapText="1"/>
    </xf>
    <xf numFmtId="0" fontId="181" fillId="0" borderId="227" xfId="0" applyFont="1" applyBorder="1" applyAlignment="1">
      <alignment horizontal="center" vertical="center" wrapText="1"/>
    </xf>
    <xf numFmtId="0" fontId="186" fillId="0" borderId="0" xfId="4" applyFont="1" applyAlignment="1">
      <alignment vertical="center"/>
    </xf>
    <xf numFmtId="171" fontId="156" fillId="0" borderId="0" xfId="1" applyNumberFormat="1" applyFont="1" applyAlignment="1" applyProtection="1">
      <alignment horizontal="left" vertical="center"/>
      <protection hidden="1"/>
    </xf>
    <xf numFmtId="1" fontId="156" fillId="0" borderId="0" xfId="0" applyNumberFormat="1" applyFont="1" applyAlignment="1" applyProtection="1">
      <alignment horizontal="left" vertical="center"/>
      <protection hidden="1"/>
    </xf>
    <xf numFmtId="0" fontId="0" fillId="2" borderId="0" xfId="0" applyFill="1" applyAlignment="1" applyProtection="1">
      <alignment horizontal="left" vertical="center"/>
      <protection hidden="1"/>
    </xf>
    <xf numFmtId="3" fontId="0" fillId="2" borderId="0" xfId="0" applyNumberFormat="1" applyFill="1" applyAlignment="1" applyProtection="1">
      <alignment horizontal="left" vertical="center"/>
      <protection hidden="1"/>
    </xf>
    <xf numFmtId="166" fontId="14" fillId="14" borderId="0" xfId="1" applyFont="1" applyFill="1" applyAlignment="1">
      <alignment horizontal="center" vertical="center"/>
    </xf>
    <xf numFmtId="9" fontId="121" fillId="10" borderId="152" xfId="8" applyFont="1" applyFill="1" applyBorder="1" applyAlignment="1" applyProtection="1">
      <alignment horizontal="center" vertical="center" wrapText="1"/>
      <protection locked="0" hidden="1"/>
    </xf>
    <xf numFmtId="9" fontId="121" fillId="10" borderId="161" xfId="8" applyFont="1" applyFill="1" applyBorder="1" applyAlignment="1" applyProtection="1">
      <alignment horizontal="center" vertical="center" wrapText="1"/>
      <protection locked="0" hidden="1"/>
    </xf>
    <xf numFmtId="9" fontId="121" fillId="10" borderId="153" xfId="8" applyFont="1" applyFill="1" applyBorder="1" applyAlignment="1" applyProtection="1">
      <alignment horizontal="center" vertical="center" wrapText="1"/>
      <protection locked="0" hidden="1"/>
    </xf>
    <xf numFmtId="0" fontId="185" fillId="3" borderId="6" xfId="0" applyFont="1" applyFill="1" applyBorder="1" applyAlignment="1">
      <alignment horizontal="center" wrapText="1"/>
    </xf>
    <xf numFmtId="0" fontId="185" fillId="3" borderId="0" xfId="0" applyFont="1" applyFill="1" applyAlignment="1">
      <alignment horizontal="center" wrapText="1"/>
    </xf>
    <xf numFmtId="0" fontId="185" fillId="3" borderId="14" xfId="0" applyFont="1" applyFill="1" applyBorder="1" applyAlignment="1">
      <alignment horizontal="center" wrapText="1"/>
    </xf>
    <xf numFmtId="0" fontId="177" fillId="3" borderId="2" xfId="0" applyFont="1" applyFill="1" applyBorder="1" applyAlignment="1">
      <alignment horizontal="center" vertical="center" wrapText="1"/>
    </xf>
    <xf numFmtId="0" fontId="177" fillId="3" borderId="13" xfId="0" applyFont="1" applyFill="1" applyBorder="1" applyAlignment="1">
      <alignment horizontal="center" vertical="center" wrapText="1"/>
    </xf>
    <xf numFmtId="0" fontId="177" fillId="3" borderId="3" xfId="0" applyFont="1" applyFill="1" applyBorder="1" applyAlignment="1">
      <alignment horizontal="center" vertical="center" wrapText="1"/>
    </xf>
    <xf numFmtId="0" fontId="178" fillId="0" borderId="219" xfId="0" applyFont="1" applyBorder="1" applyAlignment="1">
      <alignment horizontal="center" wrapText="1"/>
    </xf>
    <xf numFmtId="0" fontId="178" fillId="0" borderId="220" xfId="0" applyFont="1" applyBorder="1" applyAlignment="1">
      <alignment horizontal="center" wrapText="1"/>
    </xf>
    <xf numFmtId="0" fontId="178" fillId="0" borderId="221" xfId="0" applyFont="1" applyBorder="1" applyAlignment="1">
      <alignment horizontal="center" wrapText="1"/>
    </xf>
    <xf numFmtId="0" fontId="180" fillId="0" borderId="6" xfId="0" applyFont="1" applyBorder="1" applyAlignment="1">
      <alignment horizontal="left" vertical="center" wrapText="1"/>
    </xf>
    <xf numFmtId="0" fontId="180" fillId="0" borderId="0" xfId="0" applyFont="1" applyAlignment="1">
      <alignment horizontal="left" vertical="center" wrapText="1"/>
    </xf>
    <xf numFmtId="0" fontId="180" fillId="0" borderId="14" xfId="0" applyFont="1" applyBorder="1" applyAlignment="1">
      <alignment horizontal="left" vertical="center" wrapText="1"/>
    </xf>
    <xf numFmtId="0" fontId="183" fillId="0" borderId="6" xfId="0" applyFont="1" applyBorder="1" applyAlignment="1">
      <alignment horizontal="center" vertical="center" wrapText="1"/>
    </xf>
    <xf numFmtId="0" fontId="183" fillId="0" borderId="0" xfId="0" applyFont="1" applyAlignment="1">
      <alignment horizontal="center" vertical="center" wrapText="1"/>
    </xf>
    <xf numFmtId="0" fontId="130" fillId="0" borderId="0" xfId="3" applyFont="1" applyAlignment="1">
      <alignment horizontal="center" vertical="center" wrapText="1"/>
    </xf>
    <xf numFmtId="0" fontId="184" fillId="0" borderId="14" xfId="0" applyFont="1" applyBorder="1" applyAlignment="1">
      <alignment horizontal="center" vertical="center" wrapText="1"/>
    </xf>
    <xf numFmtId="0" fontId="188" fillId="3" borderId="224" xfId="0" applyFont="1" applyFill="1" applyBorder="1" applyAlignment="1">
      <alignment horizontal="left" vertical="center" wrapText="1"/>
    </xf>
    <xf numFmtId="0" fontId="188" fillId="3" borderId="225" xfId="0" applyFont="1" applyFill="1" applyBorder="1" applyAlignment="1">
      <alignment horizontal="left" vertical="center" wrapText="1"/>
    </xf>
    <xf numFmtId="0" fontId="188" fillId="3" borderId="226" xfId="0" applyFont="1" applyFill="1" applyBorder="1" applyAlignment="1">
      <alignment horizontal="left" vertical="center" wrapText="1"/>
    </xf>
    <xf numFmtId="0" fontId="181" fillId="0" borderId="6" xfId="0" applyFont="1" applyBorder="1" applyAlignment="1">
      <alignment horizontal="left" vertical="center" wrapText="1"/>
    </xf>
    <xf numFmtId="0" fontId="180" fillId="0" borderId="224" xfId="0" applyFont="1" applyBorder="1" applyAlignment="1">
      <alignment horizontal="left" vertical="center" wrapText="1"/>
    </xf>
    <xf numFmtId="0" fontId="180" fillId="0" borderId="225" xfId="0" applyFont="1" applyBorder="1" applyAlignment="1">
      <alignment horizontal="left" vertical="center" wrapText="1"/>
    </xf>
    <xf numFmtId="0" fontId="180" fillId="0" borderId="226" xfId="0" applyFont="1" applyBorder="1" applyAlignment="1">
      <alignment horizontal="left" vertical="center" wrapText="1"/>
    </xf>
    <xf numFmtId="0" fontId="185" fillId="3" borderId="219" xfId="0" applyFont="1" applyFill="1" applyBorder="1" applyAlignment="1">
      <alignment horizontal="center" wrapText="1"/>
    </xf>
    <xf numFmtId="0" fontId="185" fillId="3" borderId="220" xfId="0" applyFont="1" applyFill="1" applyBorder="1" applyAlignment="1">
      <alignment horizontal="center" wrapText="1"/>
    </xf>
    <xf numFmtId="0" fontId="185" fillId="3" borderId="221" xfId="0" applyFont="1" applyFill="1" applyBorder="1" applyAlignment="1">
      <alignment horizontal="center" wrapText="1"/>
    </xf>
    <xf numFmtId="0" fontId="176" fillId="3" borderId="189" xfId="0" applyFont="1" applyFill="1" applyBorder="1" applyAlignment="1" applyProtection="1">
      <alignment horizontal="center" vertical="top"/>
      <protection hidden="1"/>
    </xf>
    <xf numFmtId="0" fontId="87" fillId="10" borderId="0" xfId="0" applyFont="1" applyFill="1" applyAlignment="1" applyProtection="1">
      <alignment horizontal="center" vertical="center"/>
      <protection hidden="1"/>
    </xf>
    <xf numFmtId="0" fontId="174" fillId="10" borderId="0" xfId="0" applyFont="1" applyFill="1" applyAlignment="1" applyProtection="1">
      <alignment horizontal="left" vertical="center"/>
      <protection hidden="1"/>
    </xf>
    <xf numFmtId="0" fontId="143" fillId="10" borderId="0" xfId="0" applyFont="1" applyFill="1" applyAlignment="1" applyProtection="1">
      <alignment horizontal="left" vertical="center"/>
      <protection hidden="1"/>
    </xf>
    <xf numFmtId="14" fontId="143" fillId="10" borderId="0" xfId="0" applyNumberFormat="1" applyFont="1" applyFill="1" applyAlignment="1" applyProtection="1">
      <alignment horizontal="left" vertical="center"/>
      <protection hidden="1"/>
    </xf>
    <xf numFmtId="0" fontId="173" fillId="10" borderId="0" xfId="0" applyFont="1" applyFill="1" applyAlignment="1" applyProtection="1">
      <alignment horizontal="left" vertical="center"/>
      <protection hidden="1"/>
    </xf>
    <xf numFmtId="0" fontId="136" fillId="0" borderId="0" xfId="0" applyFont="1" applyAlignment="1" applyProtection="1">
      <alignment horizontal="justify" vertical="center" wrapText="1"/>
      <protection hidden="1"/>
    </xf>
    <xf numFmtId="0" fontId="87" fillId="0" borderId="0" xfId="0" applyFont="1" applyAlignment="1" applyProtection="1">
      <alignment horizontal="center" vertical="center"/>
      <protection hidden="1"/>
    </xf>
    <xf numFmtId="0" fontId="171" fillId="0" borderId="0" xfId="0" applyFont="1" applyAlignment="1" applyProtection="1">
      <alignment horizontal="center" vertical="center" wrapText="1"/>
      <protection hidden="1"/>
    </xf>
    <xf numFmtId="169" fontId="157" fillId="12" borderId="213" xfId="0" applyNumberFormat="1" applyFont="1" applyFill="1" applyBorder="1" applyAlignment="1" applyProtection="1">
      <alignment horizontal="center" vertical="center"/>
      <protection hidden="1"/>
    </xf>
    <xf numFmtId="169" fontId="157" fillId="12" borderId="214" xfId="0" applyNumberFormat="1" applyFont="1" applyFill="1" applyBorder="1" applyAlignment="1" applyProtection="1">
      <alignment horizontal="center" vertical="center"/>
      <protection hidden="1"/>
    </xf>
    <xf numFmtId="172" fontId="157" fillId="11" borderId="203" xfId="0" applyNumberFormat="1" applyFont="1" applyFill="1" applyBorder="1" applyAlignment="1" applyProtection="1">
      <alignment horizontal="center" vertical="center"/>
      <protection hidden="1"/>
    </xf>
    <xf numFmtId="172" fontId="157" fillId="11" borderId="205" xfId="0" applyNumberFormat="1" applyFont="1" applyFill="1" applyBorder="1" applyAlignment="1" applyProtection="1">
      <alignment horizontal="center" vertical="center"/>
      <protection hidden="1"/>
    </xf>
    <xf numFmtId="171" fontId="156" fillId="0" borderId="187" xfId="0" applyNumberFormat="1" applyFont="1" applyBorder="1" applyAlignment="1" applyProtection="1">
      <alignment horizontal="left" vertical="center" wrapText="1"/>
      <protection hidden="1"/>
    </xf>
    <xf numFmtId="171" fontId="156" fillId="0" borderId="185" xfId="0" applyNumberFormat="1" applyFont="1" applyBorder="1" applyAlignment="1" applyProtection="1">
      <alignment horizontal="left" vertical="center" wrapText="1"/>
      <protection hidden="1"/>
    </xf>
    <xf numFmtId="0" fontId="159" fillId="3" borderId="188" xfId="0" applyFont="1" applyFill="1" applyBorder="1" applyAlignment="1" applyProtection="1">
      <alignment horizontal="left" vertical="center" wrapText="1"/>
      <protection hidden="1"/>
    </xf>
    <xf numFmtId="0" fontId="159" fillId="3" borderId="182" xfId="0" applyFont="1" applyFill="1" applyBorder="1" applyAlignment="1" applyProtection="1">
      <alignment horizontal="left" vertical="center" wrapText="1"/>
      <protection hidden="1"/>
    </xf>
    <xf numFmtId="0" fontId="67" fillId="0" borderId="0" xfId="0" applyFont="1" applyAlignment="1" applyProtection="1">
      <alignment horizontal="center" wrapText="1"/>
      <protection hidden="1"/>
    </xf>
    <xf numFmtId="0" fontId="0" fillId="0" borderId="0" xfId="0" applyAlignment="1">
      <alignment horizontal="center" vertical="center"/>
    </xf>
    <xf numFmtId="0" fontId="0" fillId="0" borderId="0" xfId="0" applyAlignment="1">
      <alignment horizontal="center"/>
    </xf>
    <xf numFmtId="0" fontId="14" fillId="2" borderId="0" xfId="0" applyFont="1" applyFill="1" applyAlignment="1">
      <alignment horizontal="center"/>
    </xf>
    <xf numFmtId="0" fontId="14" fillId="2" borderId="0" xfId="0" applyFont="1" applyFill="1" applyAlignment="1">
      <alignment horizontal="center" vertical="center" wrapText="1"/>
    </xf>
    <xf numFmtId="3" fontId="139" fillId="3" borderId="0" xfId="7" applyNumberFormat="1" applyFont="1" applyFill="1" applyAlignment="1" applyProtection="1">
      <alignment horizontal="center" vertical="center" wrapText="1"/>
      <protection hidden="1"/>
    </xf>
    <xf numFmtId="0" fontId="168" fillId="2" borderId="0" xfId="0" applyFont="1" applyFill="1" applyAlignment="1" applyProtection="1">
      <alignment horizontal="left" vertical="center" wrapText="1"/>
      <protection hidden="1"/>
    </xf>
    <xf numFmtId="0" fontId="164" fillId="0" borderId="0" xfId="0" applyFont="1" applyAlignment="1" applyProtection="1">
      <alignment horizontal="center"/>
      <protection hidden="1"/>
    </xf>
    <xf numFmtId="4" fontId="156" fillId="2" borderId="191" xfId="0" applyNumberFormat="1" applyFont="1" applyFill="1" applyBorder="1" applyAlignment="1" applyProtection="1">
      <alignment horizontal="center" vertical="center"/>
      <protection hidden="1"/>
    </xf>
    <xf numFmtId="4" fontId="156" fillId="2" borderId="195" xfId="0" applyNumberFormat="1" applyFont="1" applyFill="1" applyBorder="1" applyAlignment="1" applyProtection="1">
      <alignment horizontal="center" vertical="center"/>
      <protection hidden="1"/>
    </xf>
    <xf numFmtId="3" fontId="156" fillId="10" borderId="180" xfId="0" applyNumberFormat="1" applyFont="1" applyFill="1" applyBorder="1" applyAlignment="1" applyProtection="1">
      <alignment horizontal="center" vertical="center"/>
      <protection hidden="1"/>
    </xf>
    <xf numFmtId="3" fontId="156" fillId="10" borderId="197" xfId="0" applyNumberFormat="1" applyFont="1" applyFill="1" applyBorder="1" applyAlignment="1" applyProtection="1">
      <alignment horizontal="center" vertical="center"/>
      <protection hidden="1"/>
    </xf>
    <xf numFmtId="14" fontId="156" fillId="2" borderId="192" xfId="0" applyNumberFormat="1" applyFont="1" applyFill="1" applyBorder="1" applyAlignment="1" applyProtection="1">
      <alignment horizontal="center" vertical="center"/>
      <protection hidden="1"/>
    </xf>
    <xf numFmtId="14" fontId="156" fillId="2" borderId="199" xfId="0" applyNumberFormat="1" applyFont="1" applyFill="1" applyBorder="1" applyAlignment="1" applyProtection="1">
      <alignment horizontal="center" vertical="center"/>
      <protection hidden="1"/>
    </xf>
    <xf numFmtId="2" fontId="139" fillId="3" borderId="0" xfId="0" applyNumberFormat="1" applyFont="1" applyFill="1" applyAlignment="1" applyProtection="1">
      <alignment horizontal="center" vertical="center" wrapText="1"/>
      <protection hidden="1"/>
    </xf>
    <xf numFmtId="171" fontId="139" fillId="3" borderId="0" xfId="0" applyNumberFormat="1" applyFont="1" applyFill="1" applyAlignment="1" applyProtection="1">
      <alignment horizontal="center" vertical="center" wrapText="1"/>
      <protection hidden="1"/>
    </xf>
    <xf numFmtId="3" fontId="156" fillId="10" borderId="180" xfId="0" applyNumberFormat="1" applyFont="1" applyFill="1" applyBorder="1" applyAlignment="1" applyProtection="1">
      <alignment horizontal="center" vertical="center"/>
      <protection locked="0"/>
    </xf>
    <xf numFmtId="3" fontId="156" fillId="10" borderId="197" xfId="0" applyNumberFormat="1" applyFont="1" applyFill="1" applyBorder="1" applyAlignment="1" applyProtection="1">
      <alignment horizontal="center" vertical="center"/>
      <protection locked="0"/>
    </xf>
    <xf numFmtId="3" fontId="156" fillId="2" borderId="180" xfId="0" applyNumberFormat="1" applyFont="1" applyFill="1" applyBorder="1" applyAlignment="1" applyProtection="1">
      <alignment horizontal="center" vertical="center"/>
      <protection locked="0"/>
    </xf>
    <xf numFmtId="3" fontId="156" fillId="2" borderId="197" xfId="0" applyNumberFormat="1" applyFont="1" applyFill="1" applyBorder="1" applyAlignment="1" applyProtection="1">
      <alignment horizontal="center" vertical="center"/>
      <protection locked="0"/>
    </xf>
    <xf numFmtId="3" fontId="156" fillId="10" borderId="192" xfId="0" applyNumberFormat="1" applyFont="1" applyFill="1" applyBorder="1" applyAlignment="1" applyProtection="1">
      <alignment horizontal="center" vertical="center"/>
      <protection locked="0"/>
    </xf>
    <xf numFmtId="3" fontId="156" fillId="10" borderId="199" xfId="0" applyNumberFormat="1" applyFont="1" applyFill="1" applyBorder="1" applyAlignment="1" applyProtection="1">
      <alignment horizontal="center" vertical="center"/>
      <protection locked="0"/>
    </xf>
    <xf numFmtId="0" fontId="156" fillId="2" borderId="196" xfId="0" applyFont="1" applyFill="1" applyBorder="1" applyAlignment="1" applyProtection="1">
      <alignment horizontal="center" vertical="center" wrapText="1"/>
      <protection hidden="1"/>
    </xf>
    <xf numFmtId="0" fontId="156" fillId="2" borderId="198" xfId="0" applyFont="1" applyFill="1" applyBorder="1" applyAlignment="1" applyProtection="1">
      <alignment horizontal="center" vertical="center" wrapText="1"/>
      <protection hidden="1"/>
    </xf>
    <xf numFmtId="0" fontId="166" fillId="3" borderId="194" xfId="0" applyFont="1" applyFill="1" applyBorder="1" applyAlignment="1" applyProtection="1">
      <alignment horizontal="center" vertical="center" wrapText="1"/>
      <protection hidden="1"/>
    </xf>
    <xf numFmtId="0" fontId="166" fillId="3" borderId="193" xfId="0" applyFont="1" applyFill="1" applyBorder="1" applyAlignment="1" applyProtection="1">
      <alignment horizontal="center" vertical="center" wrapText="1"/>
      <protection hidden="1"/>
    </xf>
    <xf numFmtId="0" fontId="166" fillId="3" borderId="195" xfId="0" applyFont="1" applyFill="1" applyBorder="1" applyAlignment="1" applyProtection="1">
      <alignment horizontal="center" vertical="center" wrapText="1"/>
      <protection hidden="1"/>
    </xf>
    <xf numFmtId="0" fontId="159" fillId="3" borderId="178" xfId="0" applyFont="1" applyFill="1" applyBorder="1" applyAlignment="1" applyProtection="1">
      <alignment horizontal="left" vertical="center"/>
      <protection hidden="1"/>
    </xf>
    <xf numFmtId="0" fontId="159" fillId="3" borderId="179" xfId="0" applyFont="1" applyFill="1" applyBorder="1" applyAlignment="1" applyProtection="1">
      <alignment horizontal="left" vertical="center"/>
      <protection hidden="1"/>
    </xf>
    <xf numFmtId="0" fontId="159" fillId="3" borderId="215" xfId="0" applyFont="1" applyFill="1" applyBorder="1" applyAlignment="1" applyProtection="1">
      <alignment horizontal="left" vertical="center"/>
      <protection hidden="1"/>
    </xf>
    <xf numFmtId="0" fontId="163" fillId="0" borderId="0" xfId="0" applyFont="1" applyAlignment="1" applyProtection="1">
      <alignment horizontal="left" vertical="center" wrapText="1"/>
      <protection hidden="1"/>
    </xf>
    <xf numFmtId="0" fontId="156" fillId="2" borderId="196" xfId="0" applyFont="1" applyFill="1" applyBorder="1" applyAlignment="1" applyProtection="1">
      <alignment horizontal="left" vertical="center" wrapText="1"/>
      <protection hidden="1"/>
    </xf>
    <xf numFmtId="0" fontId="156" fillId="2" borderId="0" xfId="0" applyFont="1" applyFill="1" applyAlignment="1" applyProtection="1">
      <alignment horizontal="left" vertical="center" wrapText="1"/>
      <protection hidden="1"/>
    </xf>
    <xf numFmtId="0" fontId="156" fillId="2" borderId="181" xfId="0" applyFont="1" applyFill="1" applyBorder="1" applyAlignment="1" applyProtection="1">
      <alignment horizontal="left" vertical="center" wrapText="1"/>
      <protection hidden="1"/>
    </xf>
    <xf numFmtId="0" fontId="156" fillId="10" borderId="196" xfId="0" applyFont="1" applyFill="1" applyBorder="1" applyAlignment="1" applyProtection="1">
      <alignment horizontal="left" vertical="center" wrapText="1"/>
      <protection hidden="1"/>
    </xf>
    <xf numFmtId="0" fontId="156" fillId="10" borderId="0" xfId="0" applyFont="1" applyFill="1" applyAlignment="1" applyProtection="1">
      <alignment horizontal="left" vertical="center" wrapText="1"/>
      <protection hidden="1"/>
    </xf>
    <xf numFmtId="0" fontId="156" fillId="10" borderId="181" xfId="0" applyFont="1" applyFill="1" applyBorder="1" applyAlignment="1" applyProtection="1">
      <alignment horizontal="left" vertical="center" wrapText="1"/>
      <protection hidden="1"/>
    </xf>
    <xf numFmtId="0" fontId="156" fillId="10" borderId="198" xfId="0" applyFont="1" applyFill="1" applyBorder="1" applyAlignment="1" applyProtection="1">
      <alignment horizontal="left" vertical="center" wrapText="1"/>
      <protection hidden="1"/>
    </xf>
    <xf numFmtId="0" fontId="156" fillId="10" borderId="189" xfId="0" applyFont="1" applyFill="1" applyBorder="1" applyAlignment="1" applyProtection="1">
      <alignment horizontal="left" vertical="center" wrapText="1"/>
      <protection hidden="1"/>
    </xf>
    <xf numFmtId="0" fontId="156" fillId="10" borderId="190" xfId="0" applyFont="1" applyFill="1" applyBorder="1" applyAlignment="1" applyProtection="1">
      <alignment horizontal="left" vertical="center" wrapText="1"/>
      <protection hidden="1"/>
    </xf>
    <xf numFmtId="0" fontId="156" fillId="2" borderId="194" xfId="0" applyFont="1" applyFill="1" applyBorder="1" applyAlignment="1" applyProtection="1">
      <alignment horizontal="left" vertical="center"/>
      <protection hidden="1"/>
    </xf>
    <xf numFmtId="0" fontId="156" fillId="2" borderId="193" xfId="0" applyFont="1" applyFill="1" applyBorder="1" applyAlignment="1" applyProtection="1">
      <alignment horizontal="left" vertical="center"/>
      <protection hidden="1"/>
    </xf>
    <xf numFmtId="0" fontId="156" fillId="2" borderId="200" xfId="0" applyFont="1" applyFill="1" applyBorder="1" applyAlignment="1" applyProtection="1">
      <alignment horizontal="left" vertical="center"/>
      <protection hidden="1"/>
    </xf>
    <xf numFmtId="0" fontId="155" fillId="3" borderId="197" xfId="0" applyFont="1" applyFill="1" applyBorder="1" applyAlignment="1" applyProtection="1">
      <alignment horizontal="center" vertical="center" textRotation="90"/>
      <protection hidden="1"/>
    </xf>
    <xf numFmtId="0" fontId="155" fillId="3" borderId="197" xfId="0" applyFont="1" applyFill="1" applyBorder="1" applyAlignment="1" applyProtection="1">
      <alignment horizontal="center" vertical="center" textRotation="90" wrapText="1"/>
      <protection hidden="1"/>
    </xf>
    <xf numFmtId="0" fontId="139" fillId="3" borderId="216" xfId="0" applyFont="1" applyFill="1" applyBorder="1" applyAlignment="1" applyProtection="1">
      <alignment horizontal="center" vertical="center"/>
      <protection locked="0"/>
    </xf>
    <xf numFmtId="0" fontId="139" fillId="3" borderId="217" xfId="0" applyFont="1" applyFill="1" applyBorder="1" applyAlignment="1" applyProtection="1">
      <alignment horizontal="center" vertical="center"/>
      <protection locked="0"/>
    </xf>
    <xf numFmtId="14" fontId="156" fillId="10" borderId="180" xfId="0" applyNumberFormat="1" applyFont="1" applyFill="1" applyBorder="1" applyAlignment="1">
      <alignment horizontal="center" vertical="center"/>
    </xf>
    <xf numFmtId="14" fontId="156" fillId="10" borderId="197" xfId="0" applyNumberFormat="1" applyFont="1" applyFill="1" applyBorder="1" applyAlignment="1">
      <alignment horizontal="center" vertical="center"/>
    </xf>
    <xf numFmtId="14" fontId="156" fillId="2" borderId="180" xfId="0" applyNumberFormat="1" applyFont="1" applyFill="1" applyBorder="1" applyAlignment="1" applyProtection="1">
      <alignment horizontal="center" vertical="center"/>
      <protection locked="0"/>
    </xf>
    <xf numFmtId="14" fontId="156" fillId="2" borderId="197" xfId="0" applyNumberFormat="1" applyFont="1" applyFill="1" applyBorder="1" applyAlignment="1" applyProtection="1">
      <alignment horizontal="center" vertical="center"/>
      <protection locked="0"/>
    </xf>
    <xf numFmtId="2" fontId="156" fillId="10" borderId="180" xfId="7" applyNumberFormat="1" applyFont="1" applyFill="1" applyBorder="1" applyAlignment="1" applyProtection="1">
      <alignment horizontal="center" vertical="center"/>
      <protection locked="0"/>
    </xf>
    <xf numFmtId="2" fontId="156" fillId="10" borderId="197" xfId="7" applyNumberFormat="1" applyFont="1" applyFill="1" applyBorder="1" applyAlignment="1" applyProtection="1">
      <alignment horizontal="center" vertical="center"/>
      <protection locked="0"/>
    </xf>
    <xf numFmtId="0" fontId="156" fillId="10" borderId="196" xfId="0" applyFont="1" applyFill="1" applyBorder="1" applyAlignment="1" applyProtection="1">
      <alignment horizontal="left" vertical="center"/>
      <protection hidden="1"/>
    </xf>
    <xf numFmtId="0" fontId="156" fillId="10" borderId="0" xfId="0" applyFont="1" applyFill="1" applyAlignment="1" applyProtection="1">
      <alignment horizontal="left" vertical="center"/>
      <protection hidden="1"/>
    </xf>
    <xf numFmtId="0" fontId="156" fillId="10" borderId="181" xfId="0" applyFont="1" applyFill="1" applyBorder="1" applyAlignment="1" applyProtection="1">
      <alignment horizontal="left" vertical="center"/>
      <protection hidden="1"/>
    </xf>
    <xf numFmtId="0" fontId="156" fillId="2" borderId="198" xfId="0" applyFont="1" applyFill="1" applyBorder="1" applyAlignment="1" applyProtection="1">
      <alignment horizontal="left" vertical="center" wrapText="1"/>
      <protection hidden="1"/>
    </xf>
    <xf numFmtId="0" fontId="156" fillId="2" borderId="189" xfId="0" applyFont="1" applyFill="1" applyBorder="1" applyAlignment="1" applyProtection="1">
      <alignment horizontal="left" vertical="center" wrapText="1"/>
      <protection hidden="1"/>
    </xf>
    <xf numFmtId="0" fontId="156" fillId="2" borderId="190" xfId="0" applyFont="1" applyFill="1" applyBorder="1" applyAlignment="1" applyProtection="1">
      <alignment horizontal="left" vertical="center" wrapText="1"/>
      <protection hidden="1"/>
    </xf>
    <xf numFmtId="0" fontId="18" fillId="2" borderId="0" xfId="0" applyFont="1" applyFill="1" applyAlignment="1" applyProtection="1">
      <alignment horizontal="right" vertical="center"/>
      <protection hidden="1"/>
    </xf>
    <xf numFmtId="0" fontId="13" fillId="2" borderId="0" xfId="0" applyFont="1" applyFill="1" applyAlignment="1" applyProtection="1">
      <alignment horizontal="right" vertical="center"/>
      <protection hidden="1"/>
    </xf>
    <xf numFmtId="0" fontId="13" fillId="2" borderId="0" xfId="0" applyFont="1" applyFill="1" applyAlignment="1" applyProtection="1">
      <alignment horizontal="left" vertical="center" wrapText="1"/>
      <protection hidden="1"/>
    </xf>
    <xf numFmtId="171" fontId="55" fillId="4" borderId="20" xfId="0" applyNumberFormat="1" applyFont="1" applyFill="1" applyBorder="1" applyAlignment="1" applyProtection="1">
      <alignment horizontal="center" vertical="center"/>
      <protection hidden="1"/>
    </xf>
    <xf numFmtId="171" fontId="55" fillId="4" borderId="21" xfId="0" applyNumberFormat="1" applyFont="1" applyFill="1" applyBorder="1" applyAlignment="1" applyProtection="1">
      <alignment horizontal="center" vertical="center"/>
      <protection hidden="1"/>
    </xf>
    <xf numFmtId="0" fontId="54" fillId="4" borderId="18" xfId="0" applyFont="1" applyFill="1" applyBorder="1" applyAlignment="1" applyProtection="1">
      <alignment horizontal="center" vertical="center"/>
      <protection hidden="1"/>
    </xf>
    <xf numFmtId="0" fontId="54" fillId="4" borderId="19" xfId="0" applyFont="1" applyFill="1" applyBorder="1" applyAlignment="1" applyProtection="1">
      <alignment horizontal="center" vertical="center"/>
      <protection hidden="1"/>
    </xf>
    <xf numFmtId="0" fontId="13" fillId="2" borderId="22" xfId="0" applyFont="1" applyFill="1" applyBorder="1" applyAlignment="1" applyProtection="1">
      <alignment horizontal="left" vertical="center" wrapText="1"/>
      <protection hidden="1"/>
    </xf>
    <xf numFmtId="0" fontId="21" fillId="2" borderId="0" xfId="0" applyFont="1" applyFill="1" applyAlignment="1" applyProtection="1">
      <alignment horizontal="center"/>
      <protection hidden="1"/>
    </xf>
    <xf numFmtId="0" fontId="48" fillId="0" borderId="46" xfId="0" applyFont="1" applyBorder="1" applyAlignment="1" applyProtection="1">
      <alignment horizontal="center" vertical="center"/>
      <protection hidden="1"/>
    </xf>
    <xf numFmtId="0" fontId="48" fillId="0" borderId="47" xfId="0" applyFont="1" applyBorder="1" applyAlignment="1" applyProtection="1">
      <alignment horizontal="center" vertical="center"/>
      <protection hidden="1"/>
    </xf>
    <xf numFmtId="0" fontId="39" fillId="3" borderId="6" xfId="0" applyFont="1" applyFill="1" applyBorder="1" applyAlignment="1" applyProtection="1">
      <alignment horizontal="left" vertical="center" wrapText="1"/>
      <protection hidden="1"/>
    </xf>
    <xf numFmtId="0" fontId="39" fillId="3" borderId="0" xfId="0" applyFont="1" applyFill="1" applyAlignment="1" applyProtection="1">
      <alignment horizontal="left" vertical="center" wrapText="1"/>
      <protection hidden="1"/>
    </xf>
    <xf numFmtId="0" fontId="13" fillId="2" borderId="0" xfId="0" applyFont="1" applyFill="1" applyAlignment="1" applyProtection="1">
      <alignment horizontal="left" vertical="center"/>
      <protection hidden="1"/>
    </xf>
    <xf numFmtId="0" fontId="13" fillId="2" borderId="64" xfId="0" applyFont="1" applyFill="1" applyBorder="1" applyAlignment="1" applyProtection="1">
      <alignment horizontal="center" wrapText="1"/>
      <protection hidden="1"/>
    </xf>
    <xf numFmtId="0" fontId="48" fillId="0" borderId="50" xfId="0" applyFont="1" applyBorder="1" applyAlignment="1" applyProtection="1">
      <alignment horizontal="center" vertical="center" wrapText="1"/>
      <protection hidden="1"/>
    </xf>
    <xf numFmtId="0" fontId="48" fillId="0" borderId="51" xfId="0" applyFont="1" applyBorder="1" applyAlignment="1" applyProtection="1">
      <alignment horizontal="center" vertical="center" wrapText="1"/>
      <protection hidden="1"/>
    </xf>
    <xf numFmtId="0" fontId="48" fillId="0" borderId="46" xfId="0" applyFont="1" applyBorder="1" applyAlignment="1" applyProtection="1">
      <alignment horizontal="center" vertical="center" wrapText="1"/>
      <protection hidden="1"/>
    </xf>
    <xf numFmtId="0" fontId="48" fillId="0" borderId="47" xfId="0" applyFont="1" applyBorder="1" applyAlignment="1" applyProtection="1">
      <alignment horizontal="center" vertical="center" wrapText="1"/>
      <protection hidden="1"/>
    </xf>
    <xf numFmtId="0" fontId="160" fillId="2" borderId="0" xfId="0" applyFont="1" applyFill="1" applyAlignment="1" applyProtection="1">
      <alignment horizontal="left" vertical="center" wrapText="1"/>
      <protection hidden="1"/>
    </xf>
    <xf numFmtId="0" fontId="164" fillId="0" borderId="0" xfId="0" applyFont="1" applyAlignment="1" applyProtection="1">
      <alignment horizontal="center" vertical="center"/>
      <protection hidden="1"/>
    </xf>
    <xf numFmtId="0" fontId="161" fillId="2" borderId="0" xfId="0" applyFont="1" applyFill="1" applyAlignment="1" applyProtection="1">
      <alignment horizontal="left" vertical="center" wrapText="1"/>
      <protection hidden="1"/>
    </xf>
    <xf numFmtId="171" fontId="138" fillId="3" borderId="0" xfId="0" applyNumberFormat="1" applyFont="1" applyFill="1" applyAlignment="1" applyProtection="1">
      <alignment horizontal="center" vertical="center" wrapText="1"/>
      <protection hidden="1"/>
    </xf>
    <xf numFmtId="0" fontId="162" fillId="0" borderId="0" xfId="0" applyFont="1" applyAlignment="1" applyProtection="1">
      <alignment horizontal="center" vertical="center"/>
      <protection hidden="1"/>
    </xf>
    <xf numFmtId="169" fontId="23" fillId="3" borderId="69" xfId="0" applyNumberFormat="1" applyFont="1" applyFill="1" applyBorder="1" applyAlignment="1" applyProtection="1">
      <alignment horizontal="center" vertical="center"/>
      <protection locked="0" hidden="1"/>
    </xf>
    <xf numFmtId="169" fontId="23" fillId="3" borderId="0" xfId="0" applyNumberFormat="1" applyFont="1" applyFill="1" applyAlignment="1" applyProtection="1">
      <alignment horizontal="center" vertical="center"/>
      <protection locked="0" hidden="1"/>
    </xf>
    <xf numFmtId="171" fontId="80" fillId="0" borderId="50" xfId="0" applyNumberFormat="1" applyFont="1" applyBorder="1" applyAlignment="1" applyProtection="1">
      <alignment vertical="center" wrapText="1"/>
      <protection hidden="1"/>
    </xf>
    <xf numFmtId="171" fontId="80" fillId="0" borderId="63" xfId="0" applyNumberFormat="1" applyFont="1" applyBorder="1" applyAlignment="1" applyProtection="1">
      <alignment vertical="center" wrapText="1"/>
      <protection hidden="1"/>
    </xf>
    <xf numFmtId="171" fontId="80" fillId="0" borderId="138" xfId="0" applyNumberFormat="1" applyFont="1" applyBorder="1" applyAlignment="1" applyProtection="1">
      <alignment vertical="center" wrapText="1"/>
      <protection hidden="1"/>
    </xf>
    <xf numFmtId="171" fontId="80" fillId="0" borderId="64" xfId="0" applyNumberFormat="1" applyFont="1" applyBorder="1" applyAlignment="1" applyProtection="1">
      <alignment vertical="center" wrapText="1"/>
      <protection hidden="1"/>
    </xf>
    <xf numFmtId="169" fontId="16" fillId="0" borderId="50" xfId="0" applyNumberFormat="1" applyFont="1" applyBorder="1" applyAlignment="1" applyProtection="1">
      <alignment horizontal="center" vertical="center"/>
      <protection locked="0" hidden="1"/>
    </xf>
    <xf numFmtId="169" fontId="16" fillId="0" borderId="63" xfId="0" applyNumberFormat="1" applyFont="1" applyBorder="1" applyAlignment="1" applyProtection="1">
      <alignment horizontal="center" vertical="center"/>
      <protection locked="0" hidden="1"/>
    </xf>
    <xf numFmtId="169" fontId="16" fillId="0" borderId="51" xfId="0" applyNumberFormat="1" applyFont="1" applyBorder="1" applyAlignment="1" applyProtection="1">
      <alignment horizontal="center" vertical="center"/>
      <protection locked="0" hidden="1"/>
    </xf>
    <xf numFmtId="0" fontId="73" fillId="0" borderId="0" xfId="0" applyFont="1" applyAlignment="1" applyProtection="1">
      <alignment horizontal="center" wrapText="1"/>
      <protection hidden="1"/>
    </xf>
    <xf numFmtId="0" fontId="45" fillId="0" borderId="50" xfId="0" applyFont="1" applyBorder="1" applyAlignment="1" applyProtection="1">
      <alignment horizontal="center" vertical="center" wrapText="1"/>
      <protection hidden="1"/>
    </xf>
    <xf numFmtId="0" fontId="45" fillId="0" borderId="51" xfId="0" applyFont="1" applyBorder="1" applyAlignment="1" applyProtection="1">
      <alignment horizontal="center" vertical="center" wrapText="1"/>
      <protection hidden="1"/>
    </xf>
    <xf numFmtId="0" fontId="82" fillId="3" borderId="6" xfId="0" applyFont="1" applyFill="1" applyBorder="1" applyAlignment="1" applyProtection="1">
      <alignment horizontal="center" vertical="center" wrapText="1"/>
      <protection hidden="1"/>
    </xf>
    <xf numFmtId="0" fontId="82" fillId="3" borderId="0" xfId="0" applyFont="1" applyFill="1" applyAlignment="1" applyProtection="1">
      <alignment horizontal="center" vertical="center" wrapText="1"/>
      <protection hidden="1"/>
    </xf>
    <xf numFmtId="1" fontId="44" fillId="7" borderId="46" xfId="0" applyNumberFormat="1" applyFont="1" applyFill="1" applyBorder="1" applyAlignment="1" applyProtection="1">
      <alignment horizontal="center" vertical="center" wrapText="1"/>
      <protection locked="0"/>
    </xf>
    <xf numFmtId="1" fontId="44" fillId="7" borderId="47" xfId="0" applyNumberFormat="1" applyFont="1" applyFill="1" applyBorder="1" applyAlignment="1" applyProtection="1">
      <alignment horizontal="center" vertical="center" wrapText="1"/>
      <protection locked="0"/>
    </xf>
    <xf numFmtId="171" fontId="45" fillId="0" borderId="33" xfId="0" applyNumberFormat="1" applyFont="1" applyBorder="1" applyAlignment="1" applyProtection="1">
      <alignment horizontal="left" vertical="center" wrapText="1"/>
      <protection hidden="1"/>
    </xf>
    <xf numFmtId="171" fontId="45" fillId="0" borderId="15" xfId="0" applyNumberFormat="1" applyFont="1" applyBorder="1" applyAlignment="1" applyProtection="1">
      <alignment horizontal="left" vertical="center" wrapText="1"/>
      <protection hidden="1"/>
    </xf>
    <xf numFmtId="171" fontId="80" fillId="0" borderId="60" xfId="0" applyNumberFormat="1" applyFont="1" applyBorder="1" applyAlignment="1" applyProtection="1">
      <alignment vertical="center" wrapText="1"/>
      <protection hidden="1"/>
    </xf>
    <xf numFmtId="171" fontId="80" fillId="0" borderId="61" xfId="0" applyNumberFormat="1" applyFont="1" applyBorder="1" applyAlignment="1" applyProtection="1">
      <alignment vertical="center" wrapText="1"/>
      <protection hidden="1"/>
    </xf>
    <xf numFmtId="171" fontId="80" fillId="0" borderId="141" xfId="0" applyNumberFormat="1" applyFont="1" applyBorder="1" applyAlignment="1" applyProtection="1">
      <alignment vertical="center" wrapText="1"/>
      <protection hidden="1"/>
    </xf>
    <xf numFmtId="0" fontId="82" fillId="3" borderId="59" xfId="0" applyFont="1" applyFill="1" applyBorder="1" applyAlignment="1" applyProtection="1">
      <alignment horizontal="left" vertical="center" wrapText="1"/>
      <protection hidden="1"/>
    </xf>
    <xf numFmtId="0" fontId="82" fillId="3" borderId="70" xfId="0" applyFont="1" applyFill="1" applyBorder="1" applyAlignment="1" applyProtection="1">
      <alignment horizontal="left" vertical="center" wrapText="1"/>
      <protection hidden="1"/>
    </xf>
    <xf numFmtId="0" fontId="82" fillId="3" borderId="134" xfId="0" applyFont="1" applyFill="1" applyBorder="1" applyAlignment="1" applyProtection="1">
      <alignment horizontal="left" vertical="center" wrapText="1"/>
      <protection hidden="1"/>
    </xf>
    <xf numFmtId="171" fontId="45" fillId="0" borderId="35" xfId="0" applyNumberFormat="1" applyFont="1" applyBorder="1" applyAlignment="1" applyProtection="1">
      <alignment horizontal="left" vertical="center" wrapText="1"/>
      <protection hidden="1"/>
    </xf>
    <xf numFmtId="171" fontId="45" fillId="0" borderId="36" xfId="0" applyNumberFormat="1" applyFont="1" applyBorder="1" applyAlignment="1" applyProtection="1">
      <alignment horizontal="left" vertical="center" wrapText="1"/>
      <protection hidden="1"/>
    </xf>
    <xf numFmtId="0" fontId="66" fillId="0" borderId="33" xfId="0" applyFont="1" applyBorder="1" applyAlignment="1" applyProtection="1">
      <alignment horizontal="left" vertical="center"/>
      <protection hidden="1"/>
    </xf>
    <xf numFmtId="0" fontId="66" fillId="0" borderId="15" xfId="0" applyFont="1" applyBorder="1" applyAlignment="1" applyProtection="1">
      <alignment horizontal="left" vertical="center"/>
      <protection hidden="1"/>
    </xf>
    <xf numFmtId="171" fontId="154" fillId="0" borderId="31" xfId="0" applyNumberFormat="1" applyFont="1" applyBorder="1" applyAlignment="1" applyProtection="1">
      <alignment horizontal="left" vertical="center" wrapText="1"/>
      <protection hidden="1"/>
    </xf>
    <xf numFmtId="171" fontId="154" fillId="0" borderId="23" xfId="0" applyNumberFormat="1" applyFont="1" applyBorder="1" applyAlignment="1" applyProtection="1">
      <alignment horizontal="left" vertical="center" wrapText="1"/>
      <protection hidden="1"/>
    </xf>
    <xf numFmtId="171" fontId="45" fillId="0" borderId="155" xfId="0" applyNumberFormat="1" applyFont="1" applyBorder="1" applyAlignment="1" applyProtection="1">
      <alignment horizontal="left" vertical="center" wrapText="1"/>
      <protection hidden="1"/>
    </xf>
    <xf numFmtId="171" fontId="45" fillId="0" borderId="156" xfId="0" applyNumberFormat="1" applyFont="1" applyBorder="1" applyAlignment="1" applyProtection="1">
      <alignment horizontal="left" vertical="center" wrapText="1"/>
      <protection hidden="1"/>
    </xf>
    <xf numFmtId="171" fontId="45" fillId="0" borderId="66" xfId="0" applyNumberFormat="1" applyFont="1" applyBorder="1" applyAlignment="1" applyProtection="1">
      <alignment horizontal="left" vertical="center" wrapText="1"/>
      <protection hidden="1"/>
    </xf>
    <xf numFmtId="171" fontId="154" fillId="0" borderId="33" xfId="0" applyNumberFormat="1" applyFont="1" applyBorder="1" applyAlignment="1" applyProtection="1">
      <alignment horizontal="left" vertical="center" wrapText="1"/>
      <protection hidden="1"/>
    </xf>
    <xf numFmtId="171" fontId="154" fillId="0" borderId="15" xfId="0" applyNumberFormat="1" applyFont="1" applyBorder="1" applyAlignment="1" applyProtection="1">
      <alignment horizontal="left" vertical="center" wrapText="1"/>
      <protection hidden="1"/>
    </xf>
    <xf numFmtId="14" fontId="52" fillId="13" borderId="23" xfId="0" applyNumberFormat="1" applyFont="1" applyFill="1" applyBorder="1" applyAlignment="1" applyProtection="1">
      <alignment horizontal="center" vertical="center"/>
      <protection locked="0" hidden="1"/>
    </xf>
    <xf numFmtId="14" fontId="52" fillId="13" borderId="32" xfId="0" applyNumberFormat="1" applyFont="1" applyFill="1" applyBorder="1" applyAlignment="1" applyProtection="1">
      <alignment horizontal="center" vertical="center"/>
      <protection locked="0" hidden="1"/>
    </xf>
    <xf numFmtId="171" fontId="66" fillId="0" borderId="15" xfId="0" applyNumberFormat="1" applyFont="1" applyBorder="1" applyAlignment="1" applyProtection="1">
      <alignment horizontal="center" vertical="center"/>
      <protection hidden="1"/>
    </xf>
    <xf numFmtId="171" fontId="66" fillId="0" borderId="34" xfId="0" applyNumberFormat="1" applyFont="1" applyBorder="1" applyAlignment="1" applyProtection="1">
      <alignment horizontal="center" vertical="center"/>
      <protection hidden="1"/>
    </xf>
    <xf numFmtId="171" fontId="45" fillId="0" borderId="15" xfId="0" applyNumberFormat="1" applyFont="1" applyBorder="1" applyAlignment="1" applyProtection="1">
      <alignment horizontal="center" vertical="center" wrapText="1"/>
      <protection hidden="1"/>
    </xf>
    <xf numFmtId="171" fontId="45" fillId="0" borderId="34" xfId="0" applyNumberFormat="1" applyFont="1" applyBorder="1" applyAlignment="1" applyProtection="1">
      <alignment horizontal="center" vertical="center" wrapText="1"/>
      <protection hidden="1"/>
    </xf>
    <xf numFmtId="171" fontId="45" fillId="0" borderId="36" xfId="0" applyNumberFormat="1" applyFont="1" applyBorder="1" applyAlignment="1" applyProtection="1">
      <alignment horizontal="center" vertical="center" wrapText="1"/>
      <protection hidden="1"/>
    </xf>
    <xf numFmtId="171" fontId="45" fillId="0" borderId="37" xfId="0" applyNumberFormat="1" applyFont="1" applyBorder="1" applyAlignment="1" applyProtection="1">
      <alignment horizontal="center" vertical="center" wrapText="1"/>
      <protection hidden="1"/>
    </xf>
    <xf numFmtId="171" fontId="88" fillId="3" borderId="134" xfId="0" applyNumberFormat="1" applyFont="1" applyFill="1" applyBorder="1" applyAlignment="1" applyProtection="1">
      <alignment horizontal="center" vertical="center" wrapText="1"/>
      <protection hidden="1"/>
    </xf>
    <xf numFmtId="171" fontId="88" fillId="3" borderId="140" xfId="0" applyNumberFormat="1" applyFont="1" applyFill="1" applyBorder="1" applyAlignment="1" applyProtection="1">
      <alignment horizontal="center" vertical="center" wrapText="1"/>
      <protection hidden="1"/>
    </xf>
    <xf numFmtId="179" fontId="52" fillId="0" borderId="157" xfId="0" applyNumberFormat="1" applyFont="1" applyBorder="1" applyAlignment="1" applyProtection="1">
      <alignment horizontal="center" vertical="center"/>
      <protection locked="0" hidden="1"/>
    </xf>
    <xf numFmtId="179" fontId="52" fillId="0" borderId="158" xfId="0" applyNumberFormat="1" applyFont="1" applyBorder="1" applyAlignment="1" applyProtection="1">
      <alignment horizontal="center" vertical="center"/>
      <protection locked="0" hidden="1"/>
    </xf>
    <xf numFmtId="14" fontId="52" fillId="13" borderId="15" xfId="0" applyNumberFormat="1" applyFont="1" applyFill="1" applyBorder="1" applyAlignment="1" applyProtection="1">
      <alignment horizontal="center" vertical="center"/>
      <protection locked="0" hidden="1"/>
    </xf>
    <xf numFmtId="14" fontId="52" fillId="13" borderId="34" xfId="0" applyNumberFormat="1" applyFont="1" applyFill="1" applyBorder="1" applyAlignment="1" applyProtection="1">
      <alignment horizontal="center" vertical="center"/>
      <protection locked="0" hidden="1"/>
    </xf>
    <xf numFmtId="0" fontId="7" fillId="2" borderId="0" xfId="0" applyFont="1" applyFill="1" applyAlignment="1" applyProtection="1">
      <alignment horizontal="left" vertical="center"/>
      <protection hidden="1"/>
    </xf>
    <xf numFmtId="0" fontId="40" fillId="2" borderId="0" xfId="0" applyFont="1" applyFill="1" applyAlignment="1" applyProtection="1">
      <alignment horizontal="left" vertical="center"/>
      <protection hidden="1"/>
    </xf>
    <xf numFmtId="0" fontId="22" fillId="3" borderId="16" xfId="0" applyFont="1" applyFill="1" applyBorder="1" applyAlignment="1" applyProtection="1">
      <alignment horizontal="center" vertical="center"/>
      <protection hidden="1"/>
    </xf>
    <xf numFmtId="0" fontId="22" fillId="3" borderId="17" xfId="0" applyFont="1" applyFill="1" applyBorder="1" applyAlignment="1" applyProtection="1">
      <alignment horizontal="center" vertical="center"/>
      <protection hidden="1"/>
    </xf>
    <xf numFmtId="0" fontId="46" fillId="2" borderId="0" xfId="0" applyFont="1" applyFill="1" applyAlignment="1" applyProtection="1">
      <alignment horizontal="center" vertical="center"/>
      <protection hidden="1"/>
    </xf>
    <xf numFmtId="0" fontId="18" fillId="2" borderId="0" xfId="0" applyFont="1" applyFill="1" applyAlignment="1" applyProtection="1">
      <alignment horizontal="left" vertical="center"/>
      <protection hidden="1"/>
    </xf>
    <xf numFmtId="0" fontId="13" fillId="2" borderId="30" xfId="0" applyFont="1" applyFill="1" applyBorder="1" applyAlignment="1" applyProtection="1">
      <alignment horizontal="left" vertical="center" wrapText="1"/>
      <protection hidden="1"/>
    </xf>
    <xf numFmtId="0" fontId="13" fillId="2" borderId="22" xfId="0" applyFont="1" applyFill="1" applyBorder="1" applyAlignment="1" applyProtection="1">
      <alignment horizontal="left" vertical="center"/>
      <protection hidden="1"/>
    </xf>
    <xf numFmtId="0" fontId="22" fillId="3" borderId="2" xfId="0" applyFont="1" applyFill="1" applyBorder="1" applyAlignment="1" applyProtection="1">
      <alignment horizontal="center" vertical="center" wrapText="1"/>
      <protection hidden="1"/>
    </xf>
    <xf numFmtId="0" fontId="22" fillId="3" borderId="3" xfId="0" applyFont="1" applyFill="1" applyBorder="1" applyAlignment="1" applyProtection="1">
      <alignment horizontal="center" vertical="center" wrapText="1"/>
      <protection hidden="1"/>
    </xf>
    <xf numFmtId="0" fontId="13" fillId="2" borderId="13" xfId="0" applyFont="1" applyFill="1" applyBorder="1" applyAlignment="1" applyProtection="1">
      <alignment horizontal="left" vertical="center" wrapText="1"/>
      <protection hidden="1"/>
    </xf>
    <xf numFmtId="0" fontId="13" fillId="2" borderId="0" xfId="0" applyFont="1" applyFill="1" applyAlignment="1" applyProtection="1">
      <alignment horizontal="center" wrapText="1"/>
      <protection hidden="1"/>
    </xf>
    <xf numFmtId="0" fontId="13" fillId="2" borderId="5" xfId="0" applyFont="1" applyFill="1" applyBorder="1" applyAlignment="1" applyProtection="1">
      <alignment horizontal="center" wrapText="1"/>
      <protection hidden="1"/>
    </xf>
    <xf numFmtId="0" fontId="78" fillId="0" borderId="76" xfId="0" applyFont="1" applyBorder="1" applyAlignment="1" applyProtection="1">
      <alignment horizontal="center" vertical="center" textRotation="90" wrapText="1"/>
      <protection hidden="1"/>
    </xf>
    <xf numFmtId="0" fontId="78" fillId="0" borderId="77" xfId="0" applyFont="1" applyBorder="1" applyAlignment="1" applyProtection="1">
      <alignment horizontal="center" vertical="center" textRotation="90" wrapText="1"/>
      <protection hidden="1"/>
    </xf>
    <xf numFmtId="0" fontId="13" fillId="2" borderId="64" xfId="0" applyFont="1" applyFill="1" applyBorder="1" applyAlignment="1" applyProtection="1">
      <alignment horizontal="left" vertical="center"/>
      <protection hidden="1"/>
    </xf>
    <xf numFmtId="0" fontId="13" fillId="2" borderId="63" xfId="0" applyFont="1" applyFill="1" applyBorder="1" applyAlignment="1" applyProtection="1">
      <alignment horizontal="left" vertical="center" wrapText="1"/>
      <protection hidden="1"/>
    </xf>
    <xf numFmtId="0" fontId="21" fillId="2" borderId="64" xfId="0" applyFont="1" applyFill="1" applyBorder="1" applyAlignment="1" applyProtection="1">
      <alignment horizontal="center"/>
      <protection hidden="1"/>
    </xf>
    <xf numFmtId="0" fontId="18" fillId="2" borderId="0" xfId="0" applyFont="1" applyFill="1" applyAlignment="1" applyProtection="1">
      <alignment horizontal="right" vertical="top"/>
      <protection hidden="1"/>
    </xf>
    <xf numFmtId="0" fontId="13" fillId="2" borderId="0" xfId="0" applyFont="1" applyFill="1" applyAlignment="1" applyProtection="1">
      <alignment horizontal="right" vertical="top"/>
      <protection hidden="1"/>
    </xf>
    <xf numFmtId="0" fontId="39" fillId="3" borderId="25" xfId="0" applyFont="1" applyFill="1" applyBorder="1" applyAlignment="1" applyProtection="1">
      <alignment horizontal="center" vertical="center" wrapText="1"/>
      <protection hidden="1"/>
    </xf>
    <xf numFmtId="0" fontId="39" fillId="3" borderId="24" xfId="0" applyFont="1" applyFill="1" applyBorder="1" applyAlignment="1" applyProtection="1">
      <alignment horizontal="center" vertical="center" wrapText="1"/>
      <protection hidden="1"/>
    </xf>
    <xf numFmtId="0" fontId="39" fillId="3" borderId="26" xfId="0" applyFont="1" applyFill="1" applyBorder="1" applyAlignment="1" applyProtection="1">
      <alignment horizontal="center" vertical="center" wrapText="1"/>
      <protection hidden="1"/>
    </xf>
    <xf numFmtId="0" fontId="13" fillId="2" borderId="24" xfId="0" applyFont="1" applyFill="1" applyBorder="1" applyAlignment="1" applyProtection="1">
      <alignment horizontal="center" vertical="center" wrapText="1"/>
      <protection hidden="1"/>
    </xf>
    <xf numFmtId="0" fontId="48" fillId="0" borderId="60" xfId="0" applyFont="1" applyBorder="1" applyAlignment="1" applyProtection="1">
      <alignment horizontal="center" vertical="center" wrapText="1"/>
      <protection hidden="1"/>
    </xf>
    <xf numFmtId="0" fontId="48" fillId="0" borderId="61" xfId="0" applyFont="1" applyBorder="1" applyAlignment="1" applyProtection="1">
      <alignment horizontal="center" vertical="center" wrapText="1"/>
      <protection hidden="1"/>
    </xf>
    <xf numFmtId="0" fontId="72" fillId="2" borderId="0" xfId="0" applyFont="1" applyFill="1" applyAlignment="1" applyProtection="1">
      <alignment horizontal="left" vertical="center" wrapText="1"/>
      <protection hidden="1"/>
    </xf>
    <xf numFmtId="0" fontId="50" fillId="3" borderId="25" xfId="0" applyFont="1" applyFill="1" applyBorder="1" applyAlignment="1" applyProtection="1">
      <alignment horizontal="center" vertical="center" wrapText="1"/>
      <protection hidden="1"/>
    </xf>
    <xf numFmtId="0" fontId="50" fillId="3" borderId="24" xfId="0" applyFont="1" applyFill="1" applyBorder="1" applyAlignment="1" applyProtection="1">
      <alignment horizontal="center" vertical="center" wrapText="1"/>
      <protection hidden="1"/>
    </xf>
    <xf numFmtId="0" fontId="50" fillId="3" borderId="26" xfId="0" applyFont="1" applyFill="1" applyBorder="1" applyAlignment="1" applyProtection="1">
      <alignment horizontal="center" vertical="center" wrapText="1"/>
      <protection hidden="1"/>
    </xf>
    <xf numFmtId="0" fontId="39" fillId="3" borderId="6" xfId="0" applyFont="1" applyFill="1" applyBorder="1" applyAlignment="1" applyProtection="1">
      <alignment horizontal="center" vertical="center" wrapText="1"/>
      <protection hidden="1"/>
    </xf>
    <xf numFmtId="0" fontId="39" fillId="3" borderId="0" xfId="0" applyFont="1" applyFill="1" applyAlignment="1" applyProtection="1">
      <alignment horizontal="center" vertical="center" wrapText="1"/>
      <protection hidden="1"/>
    </xf>
    <xf numFmtId="0" fontId="44" fillId="2" borderId="0" xfId="0" applyFont="1" applyFill="1" applyAlignment="1" applyProtection="1">
      <alignment horizontal="center" wrapText="1"/>
      <protection hidden="1"/>
    </xf>
    <xf numFmtId="0" fontId="44" fillId="2" borderId="33" xfId="0" applyFont="1" applyFill="1" applyBorder="1" applyAlignment="1" applyProtection="1">
      <alignment horizontal="center" vertical="center" wrapText="1"/>
      <protection hidden="1"/>
    </xf>
    <xf numFmtId="0" fontId="44" fillId="2" borderId="35" xfId="0" applyFont="1" applyFill="1" applyBorder="1" applyAlignment="1" applyProtection="1">
      <alignment horizontal="center" vertical="center" wrapText="1"/>
      <protection hidden="1"/>
    </xf>
    <xf numFmtId="0" fontId="48" fillId="2" borderId="0" xfId="0" applyFont="1" applyFill="1" applyAlignment="1" applyProtection="1">
      <alignment horizontal="center" vertical="center"/>
      <protection hidden="1"/>
    </xf>
    <xf numFmtId="0" fontId="148" fillId="3" borderId="108" xfId="0" applyFont="1" applyFill="1" applyBorder="1" applyAlignment="1" applyProtection="1">
      <alignment horizontal="center" vertical="center"/>
      <protection hidden="1"/>
    </xf>
    <xf numFmtId="0" fontId="148" fillId="3" borderId="109" xfId="0" applyFont="1" applyFill="1" applyBorder="1" applyAlignment="1" applyProtection="1">
      <alignment horizontal="center" vertical="center"/>
      <protection hidden="1"/>
    </xf>
    <xf numFmtId="0" fontId="148" fillId="3" borderId="110" xfId="0" applyFont="1" applyFill="1" applyBorder="1" applyAlignment="1" applyProtection="1">
      <alignment horizontal="center" vertical="center"/>
      <protection hidden="1"/>
    </xf>
    <xf numFmtId="0" fontId="151" fillId="3" borderId="20" xfId="0" applyFont="1" applyFill="1" applyBorder="1" applyAlignment="1" applyProtection="1">
      <alignment horizontal="center" vertical="center" wrapText="1"/>
      <protection hidden="1"/>
    </xf>
    <xf numFmtId="0" fontId="151" fillId="3" borderId="30" xfId="0" applyFont="1" applyFill="1" applyBorder="1" applyAlignment="1" applyProtection="1">
      <alignment horizontal="center" vertical="center" wrapText="1"/>
      <protection hidden="1"/>
    </xf>
    <xf numFmtId="0" fontId="85" fillId="2" borderId="108" xfId="0" applyFont="1" applyFill="1" applyBorder="1" applyAlignment="1" applyProtection="1">
      <alignment horizontal="center" vertical="center"/>
      <protection hidden="1"/>
    </xf>
    <xf numFmtId="0" fontId="85" fillId="2" borderId="109" xfId="0" applyFont="1" applyFill="1" applyBorder="1" applyAlignment="1" applyProtection="1">
      <alignment horizontal="center" vertical="center"/>
      <protection hidden="1"/>
    </xf>
    <xf numFmtId="3" fontId="64" fillId="0" borderId="109" xfId="0" applyNumberFormat="1" applyFont="1" applyBorder="1" applyAlignment="1" applyProtection="1">
      <alignment horizontal="center" vertical="center"/>
      <protection hidden="1"/>
    </xf>
    <xf numFmtId="0" fontId="64" fillId="0" borderId="109" xfId="0" applyFont="1" applyBorder="1" applyAlignment="1" applyProtection="1">
      <alignment horizontal="center" vertical="center"/>
      <protection hidden="1"/>
    </xf>
    <xf numFmtId="1" fontId="64" fillId="0" borderId="109" xfId="1" applyNumberFormat="1" applyFont="1" applyFill="1" applyBorder="1" applyAlignment="1" applyProtection="1">
      <alignment horizontal="center" vertical="center"/>
      <protection hidden="1"/>
    </xf>
    <xf numFmtId="1" fontId="64" fillId="0" borderId="110" xfId="1" applyNumberFormat="1" applyFont="1" applyFill="1" applyBorder="1" applyAlignment="1" applyProtection="1">
      <alignment horizontal="center" vertical="center"/>
      <protection hidden="1"/>
    </xf>
    <xf numFmtId="0" fontId="71" fillId="3" borderId="108" xfId="0" applyFont="1" applyFill="1" applyBorder="1" applyAlignment="1" applyProtection="1">
      <alignment horizontal="center" vertical="center" wrapText="1"/>
      <protection hidden="1"/>
    </xf>
    <xf numFmtId="0" fontId="71" fillId="3" borderId="109" xfId="0" applyFont="1" applyFill="1" applyBorder="1" applyAlignment="1" applyProtection="1">
      <alignment horizontal="center" vertical="center" wrapText="1"/>
      <protection hidden="1"/>
    </xf>
    <xf numFmtId="174" fontId="89" fillId="3" borderId="109" xfId="0" applyNumberFormat="1" applyFont="1" applyFill="1" applyBorder="1" applyAlignment="1" applyProtection="1">
      <alignment horizontal="center" vertical="center"/>
      <protection hidden="1"/>
    </xf>
    <xf numFmtId="174" fontId="89" fillId="3" borderId="109" xfId="1" applyNumberFormat="1" applyFont="1" applyFill="1" applyBorder="1" applyAlignment="1" applyProtection="1">
      <alignment horizontal="center" vertical="center"/>
      <protection hidden="1"/>
    </xf>
    <xf numFmtId="174" fontId="89" fillId="3" borderId="110" xfId="1" applyNumberFormat="1" applyFont="1" applyFill="1" applyBorder="1" applyAlignment="1" applyProtection="1">
      <alignment horizontal="center" vertical="center"/>
      <protection hidden="1"/>
    </xf>
    <xf numFmtId="0" fontId="90" fillId="4" borderId="116" xfId="0" applyFont="1" applyFill="1" applyBorder="1" applyAlignment="1" applyProtection="1">
      <alignment horizontal="center" vertical="center" wrapText="1"/>
      <protection hidden="1"/>
    </xf>
    <xf numFmtId="0" fontId="90" fillId="4" borderId="117" xfId="0" applyFont="1" applyFill="1" applyBorder="1" applyAlignment="1" applyProtection="1">
      <alignment horizontal="center" vertical="center" wrapText="1"/>
      <protection hidden="1"/>
    </xf>
    <xf numFmtId="0" fontId="90" fillId="4" borderId="118" xfId="0" applyFont="1" applyFill="1" applyBorder="1" applyAlignment="1" applyProtection="1">
      <alignment horizontal="center" vertical="center" wrapText="1"/>
      <protection hidden="1"/>
    </xf>
    <xf numFmtId="174" fontId="89" fillId="3" borderId="112" xfId="0" applyNumberFormat="1" applyFont="1" applyFill="1" applyBorder="1" applyAlignment="1" applyProtection="1">
      <alignment horizontal="center" vertical="center" wrapText="1"/>
      <protection hidden="1"/>
    </xf>
    <xf numFmtId="174" fontId="89" fillId="3" borderId="113" xfId="0" applyNumberFormat="1" applyFont="1" applyFill="1" applyBorder="1" applyAlignment="1" applyProtection="1">
      <alignment horizontal="center" vertical="center" wrapText="1"/>
      <protection hidden="1"/>
    </xf>
    <xf numFmtId="0" fontId="71" fillId="3" borderId="119" xfId="0" applyFont="1" applyFill="1" applyBorder="1" applyAlignment="1" applyProtection="1">
      <alignment horizontal="center" vertical="center" wrapText="1"/>
      <protection hidden="1"/>
    </xf>
    <xf numFmtId="0" fontId="71" fillId="3" borderId="120" xfId="0" applyFont="1" applyFill="1" applyBorder="1" applyAlignment="1" applyProtection="1">
      <alignment horizontal="center" vertical="center" wrapText="1"/>
      <protection hidden="1"/>
    </xf>
    <xf numFmtId="0" fontId="71" fillId="3" borderId="121" xfId="0" applyFont="1" applyFill="1" applyBorder="1" applyAlignment="1" applyProtection="1">
      <alignment horizontal="center" vertical="center" wrapText="1"/>
      <protection hidden="1"/>
    </xf>
    <xf numFmtId="0" fontId="90" fillId="4" borderId="50" xfId="0" applyFont="1" applyFill="1" applyBorder="1" applyAlignment="1" applyProtection="1">
      <alignment horizontal="center" vertical="center" wrapText="1"/>
      <protection hidden="1"/>
    </xf>
    <xf numFmtId="0" fontId="90" fillId="4" borderId="63" xfId="0" applyFont="1" applyFill="1" applyBorder="1" applyAlignment="1" applyProtection="1">
      <alignment horizontal="center" vertical="center" wrapText="1"/>
      <protection hidden="1"/>
    </xf>
    <xf numFmtId="0" fontId="90" fillId="4" borderId="51" xfId="0" applyFont="1" applyFill="1" applyBorder="1" applyAlignment="1" applyProtection="1">
      <alignment horizontal="center" vertical="center" wrapText="1"/>
      <protection hidden="1"/>
    </xf>
    <xf numFmtId="0" fontId="98" fillId="0" borderId="116" xfId="0" applyFont="1" applyBorder="1" applyAlignment="1" applyProtection="1">
      <alignment horizontal="center"/>
      <protection hidden="1"/>
    </xf>
    <xf numFmtId="0" fontId="98" fillId="0" borderId="117" xfId="0" applyFont="1" applyBorder="1" applyAlignment="1" applyProtection="1">
      <alignment horizontal="center"/>
      <protection hidden="1"/>
    </xf>
    <xf numFmtId="3" fontId="92" fillId="0" borderId="117" xfId="0" applyNumberFormat="1" applyFont="1" applyBorder="1" applyAlignment="1" applyProtection="1">
      <alignment horizontal="center" vertical="center"/>
      <protection hidden="1"/>
    </xf>
    <xf numFmtId="0" fontId="92" fillId="0" borderId="117" xfId="0" applyFont="1" applyBorder="1" applyAlignment="1" applyProtection="1">
      <alignment horizontal="center" vertical="center"/>
      <protection hidden="1"/>
    </xf>
    <xf numFmtId="1" fontId="92" fillId="0" borderId="117" xfId="1" applyNumberFormat="1" applyFont="1" applyFill="1" applyBorder="1" applyAlignment="1" applyProtection="1">
      <alignment horizontal="center" vertical="center"/>
      <protection hidden="1"/>
    </xf>
    <xf numFmtId="1" fontId="92" fillId="0" borderId="118" xfId="1" applyNumberFormat="1" applyFont="1" applyFill="1" applyBorder="1" applyAlignment="1" applyProtection="1">
      <alignment horizontal="center" vertical="center"/>
      <protection hidden="1"/>
    </xf>
    <xf numFmtId="0" fontId="92" fillId="0" borderId="122" xfId="0" applyFont="1" applyBorder="1" applyAlignment="1" applyProtection="1">
      <alignment horizontal="center" vertical="center"/>
      <protection hidden="1"/>
    </xf>
    <xf numFmtId="0" fontId="92" fillId="0" borderId="103" xfId="0" applyFont="1" applyBorder="1" applyAlignment="1" applyProtection="1">
      <alignment horizontal="center" vertical="center"/>
      <protection hidden="1"/>
    </xf>
    <xf numFmtId="3" fontId="90" fillId="0" borderId="103" xfId="0" applyNumberFormat="1" applyFont="1" applyBorder="1" applyAlignment="1" applyProtection="1">
      <alignment horizontal="center" vertical="center"/>
      <protection hidden="1"/>
    </xf>
    <xf numFmtId="0" fontId="90" fillId="0" borderId="103" xfId="0" applyFont="1" applyBorder="1" applyAlignment="1" applyProtection="1">
      <alignment horizontal="center" vertical="center"/>
      <protection hidden="1"/>
    </xf>
    <xf numFmtId="1" fontId="90" fillId="0" borderId="103" xfId="1" applyNumberFormat="1" applyFont="1" applyFill="1" applyBorder="1" applyAlignment="1" applyProtection="1">
      <alignment horizontal="center" vertical="center"/>
      <protection hidden="1"/>
    </xf>
    <xf numFmtId="1" fontId="90" fillId="0" borderId="123" xfId="1" applyNumberFormat="1" applyFont="1" applyFill="1" applyBorder="1" applyAlignment="1" applyProtection="1">
      <alignment horizontal="center" vertical="center"/>
      <protection hidden="1"/>
    </xf>
    <xf numFmtId="0" fontId="96" fillId="2" borderId="90" xfId="0" applyFont="1" applyFill="1" applyBorder="1" applyAlignment="1" applyProtection="1">
      <alignment horizontal="center" vertical="center"/>
      <protection hidden="1"/>
    </xf>
    <xf numFmtId="0" fontId="96" fillId="2" borderId="91" xfId="0" applyFont="1" applyFill="1" applyBorder="1" applyAlignment="1" applyProtection="1">
      <alignment horizontal="center" vertical="center"/>
      <protection hidden="1"/>
    </xf>
    <xf numFmtId="0" fontId="96" fillId="2" borderId="92" xfId="0" applyFont="1" applyFill="1" applyBorder="1" applyAlignment="1" applyProtection="1">
      <alignment horizontal="center" vertical="center"/>
      <protection hidden="1"/>
    </xf>
    <xf numFmtId="0" fontId="97" fillId="0" borderId="93" xfId="0" applyFont="1" applyBorder="1" applyAlignment="1" applyProtection="1">
      <alignment horizontal="center" vertical="center" wrapText="1"/>
      <protection hidden="1"/>
    </xf>
    <xf numFmtId="0" fontId="97" fillId="0" borderId="94" xfId="0" applyFont="1" applyBorder="1" applyAlignment="1" applyProtection="1">
      <alignment horizontal="center" vertical="center" wrapText="1"/>
      <protection hidden="1"/>
    </xf>
    <xf numFmtId="0" fontId="97" fillId="0" borderId="95" xfId="0" applyFont="1" applyBorder="1" applyAlignment="1" applyProtection="1">
      <alignment horizontal="center" vertical="center" wrapText="1"/>
      <protection hidden="1"/>
    </xf>
    <xf numFmtId="0" fontId="71" fillId="3" borderId="111" xfId="0" applyFont="1" applyFill="1" applyBorder="1" applyAlignment="1" applyProtection="1">
      <alignment horizontal="center" vertical="center" wrapText="1"/>
      <protection hidden="1"/>
    </xf>
    <xf numFmtId="0" fontId="71" fillId="3" borderId="112" xfId="0" applyFont="1" applyFill="1" applyBorder="1" applyAlignment="1" applyProtection="1">
      <alignment horizontal="center" vertical="center" wrapText="1"/>
      <protection hidden="1"/>
    </xf>
    <xf numFmtId="0" fontId="91" fillId="3" borderId="112" xfId="0" quotePrefix="1" applyFont="1" applyFill="1" applyBorder="1" applyAlignment="1" applyProtection="1">
      <alignment horizontal="center" vertical="center" wrapText="1"/>
      <protection hidden="1"/>
    </xf>
    <xf numFmtId="0" fontId="91" fillId="3" borderId="112" xfId="0" applyFont="1" applyFill="1" applyBorder="1" applyAlignment="1" applyProtection="1">
      <alignment horizontal="center" vertical="center" wrapText="1"/>
      <protection hidden="1"/>
    </xf>
    <xf numFmtId="2" fontId="89" fillId="3" borderId="112" xfId="0" applyNumberFormat="1" applyFont="1" applyFill="1" applyBorder="1" applyAlignment="1" applyProtection="1">
      <alignment horizontal="center" vertical="center" wrapText="1"/>
      <protection hidden="1"/>
    </xf>
    <xf numFmtId="2" fontId="89" fillId="3" borderId="113" xfId="0" applyNumberFormat="1" applyFont="1" applyFill="1" applyBorder="1" applyAlignment="1" applyProtection="1">
      <alignment horizontal="center" vertical="center" wrapText="1"/>
      <protection hidden="1"/>
    </xf>
    <xf numFmtId="174" fontId="89" fillId="3" borderId="112" xfId="0" applyNumberFormat="1" applyFont="1" applyFill="1" applyBorder="1" applyAlignment="1" applyProtection="1">
      <alignment horizontal="center" vertical="center"/>
      <protection hidden="1"/>
    </xf>
    <xf numFmtId="174" fontId="89" fillId="3" borderId="113" xfId="0" applyNumberFormat="1" applyFont="1" applyFill="1" applyBorder="1" applyAlignment="1" applyProtection="1">
      <alignment horizontal="center" vertical="center"/>
      <protection hidden="1"/>
    </xf>
    <xf numFmtId="0" fontId="108" fillId="0" borderId="16" xfId="0" applyFont="1" applyBorder="1" applyAlignment="1" applyProtection="1">
      <alignment horizontal="center" vertical="center"/>
      <protection hidden="1"/>
    </xf>
    <xf numFmtId="0" fontId="108" fillId="0" borderId="135" xfId="0" applyFont="1" applyBorder="1" applyAlignment="1" applyProtection="1">
      <alignment horizontal="center" vertical="center"/>
      <protection hidden="1"/>
    </xf>
    <xf numFmtId="0" fontId="108" fillId="0" borderId="17" xfId="0" applyFont="1" applyBorder="1" applyAlignment="1" applyProtection="1">
      <alignment horizontal="center" vertical="center"/>
      <protection hidden="1"/>
    </xf>
    <xf numFmtId="174" fontId="111" fillId="3" borderId="135" xfId="0" applyNumberFormat="1" applyFont="1" applyFill="1" applyBorder="1" applyAlignment="1" applyProtection="1">
      <alignment horizontal="center" vertical="center"/>
      <protection hidden="1"/>
    </xf>
    <xf numFmtId="9" fontId="111" fillId="3" borderId="135" xfId="8" applyFont="1" applyFill="1" applyBorder="1" applyAlignment="1" applyProtection="1">
      <alignment horizontal="center" vertical="center"/>
      <protection hidden="1"/>
    </xf>
    <xf numFmtId="174" fontId="119" fillId="3" borderId="16" xfId="0" applyNumberFormat="1" applyFont="1" applyFill="1" applyBorder="1" applyAlignment="1" applyProtection="1">
      <alignment horizontal="center" vertical="center"/>
      <protection hidden="1"/>
    </xf>
    <xf numFmtId="174" fontId="119" fillId="3" borderId="135" xfId="0" applyNumberFormat="1" applyFont="1" applyFill="1" applyBorder="1" applyAlignment="1" applyProtection="1">
      <alignment horizontal="center" vertical="center"/>
      <protection hidden="1"/>
    </xf>
    <xf numFmtId="0" fontId="126" fillId="11" borderId="0" xfId="0" applyFont="1" applyFill="1" applyAlignment="1" applyProtection="1">
      <alignment horizontal="center" vertical="center" textRotation="90"/>
      <protection hidden="1"/>
    </xf>
    <xf numFmtId="0" fontId="140" fillId="0" borderId="46" xfId="0" applyFont="1" applyBorder="1" applyAlignment="1" applyProtection="1">
      <alignment horizontal="center" vertical="center" wrapText="1"/>
      <protection hidden="1"/>
    </xf>
    <xf numFmtId="0" fontId="140" fillId="0" borderId="47" xfId="0" applyFont="1" applyBorder="1" applyAlignment="1" applyProtection="1">
      <alignment horizontal="center" vertical="center" wrapText="1"/>
      <protection hidden="1"/>
    </xf>
    <xf numFmtId="0" fontId="119" fillId="3" borderId="218" xfId="0" applyFont="1" applyFill="1" applyBorder="1" applyAlignment="1" applyProtection="1">
      <alignment horizontal="center" vertical="center"/>
      <protection locked="0" hidden="1"/>
    </xf>
    <xf numFmtId="0" fontId="119" fillId="3" borderId="47" xfId="0" applyFont="1" applyFill="1" applyBorder="1" applyAlignment="1" applyProtection="1">
      <alignment horizontal="center" vertical="center"/>
      <protection locked="0" hidden="1"/>
    </xf>
    <xf numFmtId="0" fontId="144" fillId="0" borderId="0" xfId="0" applyFont="1" applyAlignment="1" applyProtection="1">
      <alignment horizontal="center" vertical="center" wrapText="1"/>
      <protection hidden="1"/>
    </xf>
    <xf numFmtId="0" fontId="125" fillId="0" borderId="0" xfId="0" applyFont="1" applyAlignment="1" applyProtection="1">
      <alignment horizontal="left" vertical="center" wrapText="1"/>
      <protection hidden="1"/>
    </xf>
    <xf numFmtId="0" fontId="141" fillId="3" borderId="178" xfId="0" applyFont="1" applyFill="1" applyBorder="1" applyAlignment="1" applyProtection="1">
      <alignment horizontal="center" vertical="center" wrapText="1"/>
      <protection hidden="1"/>
    </xf>
    <xf numFmtId="0" fontId="141" fillId="3" borderId="179" xfId="0" applyFont="1" applyFill="1" applyBorder="1" applyAlignment="1" applyProtection="1">
      <alignment horizontal="center" vertical="center" wrapText="1"/>
      <protection hidden="1"/>
    </xf>
    <xf numFmtId="0" fontId="141" fillId="3" borderId="217" xfId="0" applyFont="1" applyFill="1" applyBorder="1" applyAlignment="1" applyProtection="1">
      <alignment horizontal="center" vertical="center" wrapText="1"/>
      <protection hidden="1"/>
    </xf>
    <xf numFmtId="0" fontId="135" fillId="10" borderId="194" xfId="0" applyFont="1" applyFill="1" applyBorder="1" applyAlignment="1" applyProtection="1">
      <alignment horizontal="left" vertical="center" wrapText="1"/>
      <protection hidden="1"/>
    </xf>
    <xf numFmtId="0" fontId="135" fillId="10" borderId="193" xfId="0" applyFont="1" applyFill="1" applyBorder="1" applyAlignment="1" applyProtection="1">
      <alignment horizontal="left" vertical="center" wrapText="1"/>
      <protection hidden="1"/>
    </xf>
    <xf numFmtId="174" fontId="146" fillId="10" borderId="193" xfId="0" applyNumberFormat="1" applyFont="1" applyFill="1" applyBorder="1" applyAlignment="1" applyProtection="1">
      <alignment horizontal="center" vertical="center" wrapText="1"/>
      <protection hidden="1"/>
    </xf>
    <xf numFmtId="174" fontId="146" fillId="10" borderId="195" xfId="0" applyNumberFormat="1" applyFont="1" applyFill="1" applyBorder="1" applyAlignment="1" applyProtection="1">
      <alignment horizontal="center" vertical="center" wrapText="1"/>
      <protection hidden="1"/>
    </xf>
    <xf numFmtId="0" fontId="135" fillId="0" borderId="196" xfId="0" applyFont="1" applyBorder="1" applyAlignment="1" applyProtection="1">
      <alignment horizontal="left" vertical="center" wrapText="1"/>
      <protection hidden="1"/>
    </xf>
    <xf numFmtId="0" fontId="135" fillId="0" borderId="0" xfId="0" applyFont="1" applyAlignment="1" applyProtection="1">
      <alignment horizontal="left" vertical="center" wrapText="1"/>
      <protection hidden="1"/>
    </xf>
    <xf numFmtId="174" fontId="147" fillId="0" borderId="0" xfId="0" applyNumberFormat="1" applyFont="1" applyAlignment="1" applyProtection="1">
      <alignment horizontal="center" vertical="center" wrapText="1"/>
      <protection hidden="1"/>
    </xf>
    <xf numFmtId="174" fontId="147" fillId="0" borderId="197" xfId="0" applyNumberFormat="1" applyFont="1" applyBorder="1" applyAlignment="1" applyProtection="1">
      <alignment horizontal="center" vertical="center" wrapText="1"/>
      <protection hidden="1"/>
    </xf>
    <xf numFmtId="0" fontId="140" fillId="12" borderId="198" xfId="0" applyFont="1" applyFill="1" applyBorder="1" applyAlignment="1" applyProtection="1">
      <alignment horizontal="left" vertical="center" wrapText="1"/>
      <protection hidden="1"/>
    </xf>
    <xf numFmtId="0" fontId="140" fillId="12" borderId="189" xfId="0" applyFont="1" applyFill="1" applyBorder="1" applyAlignment="1" applyProtection="1">
      <alignment horizontal="left" vertical="center" wrapText="1"/>
      <protection hidden="1"/>
    </xf>
    <xf numFmtId="174" fontId="95" fillId="12" borderId="189" xfId="0" applyNumberFormat="1" applyFont="1" applyFill="1" applyBorder="1" applyAlignment="1" applyProtection="1">
      <alignment horizontal="center" vertical="center" wrapText="1"/>
      <protection hidden="1"/>
    </xf>
    <xf numFmtId="174" fontId="95" fillId="12" borderId="199" xfId="0" applyNumberFormat="1" applyFont="1" applyFill="1" applyBorder="1" applyAlignment="1" applyProtection="1">
      <alignment horizontal="center" vertical="center" wrapText="1"/>
      <protection hidden="1"/>
    </xf>
    <xf numFmtId="0" fontId="137" fillId="0" borderId="0" xfId="0" applyFont="1" applyAlignment="1" applyProtection="1">
      <alignment horizontal="center" vertical="center" wrapText="1"/>
      <protection hidden="1"/>
    </xf>
    <xf numFmtId="0" fontId="92" fillId="0" borderId="69" xfId="0" applyFont="1" applyBorder="1" applyAlignment="1" applyProtection="1">
      <alignment horizontal="center" vertical="center" wrapText="1"/>
      <protection hidden="1"/>
    </xf>
    <xf numFmtId="0" fontId="92" fillId="0" borderId="0" xfId="0" applyFont="1" applyAlignment="1" applyProtection="1">
      <alignment horizontal="center" vertical="center" wrapText="1"/>
      <protection hidden="1"/>
    </xf>
    <xf numFmtId="0" fontId="71" fillId="3" borderId="138" xfId="0" applyFont="1" applyFill="1" applyBorder="1" applyAlignment="1" applyProtection="1">
      <alignment horizontal="center" vertical="center" wrapText="1"/>
      <protection hidden="1"/>
    </xf>
    <xf numFmtId="0" fontId="71" fillId="3" borderId="64" xfId="0" applyFont="1" applyFill="1" applyBorder="1" applyAlignment="1" applyProtection="1">
      <alignment horizontal="center" vertical="center" wrapText="1"/>
      <protection hidden="1"/>
    </xf>
    <xf numFmtId="0" fontId="92" fillId="0" borderId="35" xfId="0" applyFont="1" applyBorder="1" applyAlignment="1" applyProtection="1">
      <alignment horizontal="center" vertical="center" wrapText="1"/>
      <protection hidden="1"/>
    </xf>
    <xf numFmtId="0" fontId="92" fillId="0" borderId="36" xfId="0" applyFont="1" applyBorder="1" applyAlignment="1" applyProtection="1">
      <alignment horizontal="center" vertical="center" wrapText="1"/>
      <protection hidden="1"/>
    </xf>
    <xf numFmtId="0" fontId="84" fillId="0" borderId="114" xfId="0" applyFont="1" applyBorder="1" applyAlignment="1" applyProtection="1">
      <alignment horizontal="center" vertical="center"/>
      <protection hidden="1"/>
    </xf>
    <xf numFmtId="0" fontId="84" fillId="0" borderId="99" xfId="0" applyFont="1" applyBorder="1" applyAlignment="1" applyProtection="1">
      <alignment horizontal="center" vertical="center"/>
      <protection hidden="1"/>
    </xf>
    <xf numFmtId="0" fontId="90" fillId="4" borderId="46" xfId="0" applyFont="1" applyFill="1" applyBorder="1" applyAlignment="1" applyProtection="1">
      <alignment horizontal="center" vertical="center" wrapText="1"/>
      <protection hidden="1"/>
    </xf>
    <xf numFmtId="0" fontId="90" fillId="4" borderId="58" xfId="0" applyFont="1" applyFill="1" applyBorder="1" applyAlignment="1" applyProtection="1">
      <alignment horizontal="center" vertical="center" wrapText="1"/>
      <protection hidden="1"/>
    </xf>
    <xf numFmtId="0" fontId="90" fillId="4" borderId="47" xfId="0" applyFont="1" applyFill="1" applyBorder="1" applyAlignment="1" applyProtection="1">
      <alignment horizontal="center" vertical="center" wrapText="1"/>
      <protection hidden="1"/>
    </xf>
    <xf numFmtId="0" fontId="84" fillId="0" borderId="108" xfId="0" applyFont="1" applyBorder="1" applyAlignment="1" applyProtection="1">
      <alignment horizontal="center" vertical="center"/>
      <protection hidden="1"/>
    </xf>
    <xf numFmtId="0" fontId="84" fillId="0" borderId="109" xfId="0" applyFont="1" applyBorder="1" applyAlignment="1" applyProtection="1">
      <alignment horizontal="center" vertical="center"/>
      <protection hidden="1"/>
    </xf>
    <xf numFmtId="0" fontId="71" fillId="3" borderId="114" xfId="0" applyFont="1" applyFill="1" applyBorder="1" applyAlignment="1" applyProtection="1">
      <alignment horizontal="center" vertical="center"/>
      <protection hidden="1"/>
    </xf>
    <xf numFmtId="0" fontId="71" fillId="3" borderId="99" xfId="0" applyFont="1" applyFill="1" applyBorder="1" applyAlignment="1" applyProtection="1">
      <alignment horizontal="center" vertical="center"/>
      <protection hidden="1"/>
    </xf>
    <xf numFmtId="0" fontId="0" fillId="2" borderId="58" xfId="0" applyFill="1" applyBorder="1" applyAlignment="1" applyProtection="1">
      <alignment horizontal="center" vertical="top" wrapText="1"/>
      <protection hidden="1"/>
    </xf>
    <xf numFmtId="0" fontId="71" fillId="3" borderId="31" xfId="0" applyFont="1" applyFill="1" applyBorder="1" applyAlignment="1" applyProtection="1">
      <alignment horizontal="center" vertical="center" wrapText="1"/>
      <protection hidden="1"/>
    </xf>
    <xf numFmtId="0" fontId="71" fillId="3" borderId="23" xfId="0" applyFont="1" applyFill="1" applyBorder="1" applyAlignment="1" applyProtection="1">
      <alignment horizontal="center" vertical="center" wrapText="1"/>
      <protection hidden="1"/>
    </xf>
    <xf numFmtId="0" fontId="105" fillId="0" borderId="165" xfId="0" applyFont="1" applyBorder="1" applyAlignment="1" applyProtection="1">
      <alignment horizontal="center" vertical="center"/>
      <protection hidden="1"/>
    </xf>
    <xf numFmtId="0" fontId="105" fillId="0" borderId="166" xfId="0" applyFont="1" applyBorder="1" applyAlignment="1" applyProtection="1">
      <alignment horizontal="center" vertical="center"/>
      <protection hidden="1"/>
    </xf>
    <xf numFmtId="0" fontId="105" fillId="0" borderId="167" xfId="0" applyFont="1" applyBorder="1" applyAlignment="1" applyProtection="1">
      <alignment horizontal="center" vertical="center"/>
      <protection hidden="1"/>
    </xf>
    <xf numFmtId="0" fontId="105" fillId="0" borderId="168" xfId="0" applyFont="1" applyBorder="1" applyAlignment="1" applyProtection="1">
      <alignment horizontal="center" vertical="center" wrapText="1"/>
      <protection hidden="1"/>
    </xf>
    <xf numFmtId="0" fontId="105" fillId="0" borderId="169" xfId="0" applyFont="1" applyBorder="1" applyAlignment="1" applyProtection="1">
      <alignment horizontal="center" vertical="center" wrapText="1"/>
      <protection hidden="1"/>
    </xf>
    <xf numFmtId="0" fontId="105" fillId="0" borderId="170" xfId="0" applyFont="1" applyBorder="1" applyAlignment="1" applyProtection="1">
      <alignment horizontal="center" vertical="center" wrapText="1"/>
      <protection hidden="1"/>
    </xf>
    <xf numFmtId="0" fontId="105" fillId="0" borderId="162" xfId="0" applyFont="1" applyBorder="1" applyAlignment="1" applyProtection="1">
      <alignment horizontal="center" vertical="center"/>
      <protection hidden="1"/>
    </xf>
    <xf numFmtId="0" fontId="105" fillId="0" borderId="163" xfId="0" applyFont="1" applyBorder="1" applyAlignment="1" applyProtection="1">
      <alignment horizontal="center" vertical="center"/>
      <protection hidden="1"/>
    </xf>
    <xf numFmtId="0" fontId="105" fillId="0" borderId="164" xfId="0" applyFont="1" applyBorder="1" applyAlignment="1" applyProtection="1">
      <alignment horizontal="center" vertical="center"/>
      <protection hidden="1"/>
    </xf>
    <xf numFmtId="0" fontId="95" fillId="2" borderId="104" xfId="0" applyFont="1" applyFill="1" applyBorder="1" applyAlignment="1" applyProtection="1">
      <alignment horizontal="center" vertical="center"/>
      <protection hidden="1"/>
    </xf>
    <xf numFmtId="0" fontId="95" fillId="2" borderId="105" xfId="0" applyFont="1" applyFill="1" applyBorder="1" applyAlignment="1" applyProtection="1">
      <alignment horizontal="center" vertical="center"/>
      <protection hidden="1"/>
    </xf>
    <xf numFmtId="0" fontId="83" fillId="0" borderId="106" xfId="0" applyFont="1" applyBorder="1" applyAlignment="1" applyProtection="1">
      <alignment horizontal="center" vertical="center" wrapText="1"/>
      <protection hidden="1"/>
    </xf>
    <xf numFmtId="0" fontId="83" fillId="0" borderId="107" xfId="0" applyFont="1" applyBorder="1" applyAlignment="1" applyProtection="1">
      <alignment horizontal="center" vertical="center" wrapText="1"/>
      <protection hidden="1"/>
    </xf>
    <xf numFmtId="0" fontId="90" fillId="4" borderId="18" xfId="0" applyFont="1" applyFill="1" applyBorder="1" applyAlignment="1" applyProtection="1">
      <alignment horizontal="center" vertical="center" wrapText="1"/>
      <protection hidden="1"/>
    </xf>
    <xf numFmtId="0" fontId="90" fillId="4" borderId="19" xfId="0" applyFont="1" applyFill="1" applyBorder="1" applyAlignment="1" applyProtection="1">
      <alignment horizontal="center" vertical="center" wrapText="1"/>
      <protection hidden="1"/>
    </xf>
    <xf numFmtId="0" fontId="90" fillId="4" borderId="16" xfId="0" applyFont="1" applyFill="1" applyBorder="1" applyAlignment="1" applyProtection="1">
      <alignment horizontal="center" vertical="center" wrapText="1"/>
      <protection hidden="1"/>
    </xf>
    <xf numFmtId="0" fontId="90" fillId="4" borderId="17" xfId="0" applyFont="1" applyFill="1" applyBorder="1" applyAlignment="1" applyProtection="1">
      <alignment horizontal="center" vertical="center" wrapText="1"/>
      <protection hidden="1"/>
    </xf>
    <xf numFmtId="0" fontId="107" fillId="0" borderId="16" xfId="0" applyFont="1" applyBorder="1" applyAlignment="1" applyProtection="1">
      <alignment horizontal="center" vertical="center"/>
      <protection hidden="1"/>
    </xf>
    <xf numFmtId="0" fontId="107" fillId="0" borderId="17" xfId="0" applyFont="1" applyBorder="1" applyAlignment="1" applyProtection="1">
      <alignment horizontal="center" vertical="center"/>
      <protection hidden="1"/>
    </xf>
    <xf numFmtId="0" fontId="103" fillId="4" borderId="18" xfId="0" applyFont="1" applyFill="1" applyBorder="1" applyAlignment="1" applyProtection="1">
      <alignment horizontal="center" vertical="center" wrapText="1"/>
      <protection hidden="1"/>
    </xf>
    <xf numFmtId="0" fontId="103" fillId="4" borderId="19" xfId="0" applyFont="1" applyFill="1" applyBorder="1" applyAlignment="1" applyProtection="1">
      <alignment horizontal="center" vertical="center" wrapText="1"/>
      <protection hidden="1"/>
    </xf>
    <xf numFmtId="0" fontId="83" fillId="0" borderId="16" xfId="0" applyFont="1" applyBorder="1" applyAlignment="1" applyProtection="1">
      <alignment horizontal="center" vertical="center" wrapText="1"/>
      <protection hidden="1"/>
    </xf>
    <xf numFmtId="0" fontId="83" fillId="0" borderId="17" xfId="0" applyFont="1" applyBorder="1" applyAlignment="1" applyProtection="1">
      <alignment horizontal="center" vertical="center" wrapText="1"/>
      <protection hidden="1"/>
    </xf>
    <xf numFmtId="0" fontId="95" fillId="2" borderId="30" xfId="0" applyFont="1" applyFill="1" applyBorder="1" applyAlignment="1" applyProtection="1">
      <alignment horizontal="center"/>
      <protection hidden="1"/>
    </xf>
    <xf numFmtId="0" fontId="103" fillId="4" borderId="16" xfId="0" applyFont="1" applyFill="1" applyBorder="1" applyAlignment="1" applyProtection="1">
      <alignment horizontal="center" vertical="center" wrapText="1"/>
      <protection hidden="1"/>
    </xf>
    <xf numFmtId="0" fontId="103" fillId="4" borderId="17" xfId="0" applyFont="1" applyFill="1" applyBorder="1" applyAlignment="1" applyProtection="1">
      <alignment horizontal="center" vertical="center" wrapText="1"/>
      <protection hidden="1"/>
    </xf>
    <xf numFmtId="0" fontId="191" fillId="10" borderId="0" xfId="0" applyFont="1" applyFill="1" applyAlignment="1" applyProtection="1">
      <alignment horizontal="center" vertical="center" wrapText="1"/>
      <protection hidden="1"/>
    </xf>
    <xf numFmtId="0" fontId="192" fillId="10" borderId="0" xfId="3" applyFont="1" applyFill="1" applyAlignment="1" applyProtection="1">
      <alignment horizontal="center" vertical="center"/>
      <protection hidden="1"/>
    </xf>
    <xf numFmtId="0" fontId="130" fillId="2" borderId="0" xfId="3" applyFont="1" applyFill="1" applyAlignment="1" applyProtection="1">
      <alignment horizontal="center" vertical="top"/>
      <protection hidden="1"/>
    </xf>
    <xf numFmtId="0" fontId="131" fillId="2" borderId="0" xfId="0" applyFont="1" applyFill="1" applyAlignment="1" applyProtection="1">
      <alignment horizontal="center" vertical="top"/>
      <protection hidden="1"/>
    </xf>
    <xf numFmtId="0" fontId="104" fillId="2" borderId="22" xfId="0" applyFont="1" applyFill="1" applyBorder="1" applyAlignment="1" applyProtection="1">
      <alignment horizontal="center" vertical="center" wrapText="1"/>
      <protection hidden="1"/>
    </xf>
    <xf numFmtId="0" fontId="132" fillId="2" borderId="0" xfId="0" applyFont="1" applyFill="1" applyAlignment="1" applyProtection="1">
      <alignment horizontal="center" vertical="center" wrapText="1"/>
      <protection hidden="1"/>
    </xf>
    <xf numFmtId="0" fontId="86" fillId="2" borderId="0" xfId="0" applyFont="1" applyFill="1" applyAlignment="1" applyProtection="1">
      <alignment horizontal="center" vertical="center" wrapText="1"/>
      <protection hidden="1"/>
    </xf>
    <xf numFmtId="0" fontId="133" fillId="2" borderId="0" xfId="0" applyFont="1" applyFill="1" applyAlignment="1" applyProtection="1">
      <alignment horizontal="center" vertical="center" wrapText="1"/>
      <protection hidden="1"/>
    </xf>
    <xf numFmtId="0" fontId="129" fillId="2" borderId="0" xfId="3" applyFont="1" applyFill="1" applyAlignment="1" applyProtection="1">
      <alignment horizontal="center" vertical="top"/>
      <protection hidden="1"/>
    </xf>
    <xf numFmtId="0" fontId="128" fillId="2" borderId="0" xfId="0" applyFont="1" applyFill="1" applyAlignment="1" applyProtection="1">
      <alignment horizontal="center" vertical="top"/>
      <protection hidden="1"/>
    </xf>
    <xf numFmtId="0" fontId="114" fillId="0" borderId="16" xfId="0" applyFont="1" applyBorder="1" applyAlignment="1" applyProtection="1">
      <alignment horizontal="center" vertical="center" wrapText="1"/>
      <protection hidden="1"/>
    </xf>
    <xf numFmtId="0" fontId="114" fillId="0" borderId="135" xfId="0" applyFont="1" applyBorder="1" applyAlignment="1" applyProtection="1">
      <alignment horizontal="center" vertical="center" wrapText="1"/>
      <protection hidden="1"/>
    </xf>
    <xf numFmtId="0" fontId="114" fillId="0" borderId="17" xfId="0" applyFont="1" applyBorder="1" applyAlignment="1" applyProtection="1">
      <alignment horizontal="center" vertical="center" wrapText="1"/>
      <protection hidden="1"/>
    </xf>
    <xf numFmtId="0" fontId="107" fillId="2" borderId="16" xfId="0" applyFont="1" applyFill="1" applyBorder="1" applyAlignment="1" applyProtection="1">
      <alignment horizontal="center" vertical="center"/>
      <protection hidden="1"/>
    </xf>
    <xf numFmtId="0" fontId="107" fillId="2" borderId="17" xfId="0" applyFont="1" applyFill="1" applyBorder="1" applyAlignment="1" applyProtection="1">
      <alignment horizontal="center" vertical="center"/>
      <protection hidden="1"/>
    </xf>
    <xf numFmtId="0" fontId="115" fillId="2" borderId="30" xfId="0" applyFont="1" applyFill="1" applyBorder="1" applyAlignment="1" applyProtection="1">
      <alignment horizontal="center" vertical="center"/>
      <protection hidden="1"/>
    </xf>
    <xf numFmtId="0" fontId="108" fillId="0" borderId="18" xfId="0" applyFont="1" applyBorder="1" applyAlignment="1" applyProtection="1">
      <alignment horizontal="center" vertical="center"/>
      <protection hidden="1"/>
    </xf>
    <xf numFmtId="0" fontId="108" fillId="0" borderId="22" xfId="0" applyFont="1" applyBorder="1" applyAlignment="1" applyProtection="1">
      <alignment horizontal="center" vertical="center"/>
      <protection hidden="1"/>
    </xf>
    <xf numFmtId="0" fontId="108" fillId="0" borderId="19" xfId="0" applyFont="1" applyBorder="1" applyAlignment="1" applyProtection="1">
      <alignment horizontal="center" vertical="center"/>
      <protection hidden="1"/>
    </xf>
    <xf numFmtId="0" fontId="109" fillId="2" borderId="22" xfId="0" applyFont="1" applyFill="1" applyBorder="1" applyAlignment="1" applyProtection="1">
      <alignment horizontal="center" vertical="center" wrapText="1"/>
      <protection hidden="1"/>
    </xf>
    <xf numFmtId="174" fontId="106" fillId="3" borderId="20" xfId="0" applyNumberFormat="1" applyFont="1" applyFill="1" applyBorder="1" applyAlignment="1" applyProtection="1">
      <alignment horizontal="center" vertical="center"/>
      <protection hidden="1"/>
    </xf>
    <xf numFmtId="174" fontId="106" fillId="3" borderId="30" xfId="0" applyNumberFormat="1" applyFont="1" applyFill="1" applyBorder="1" applyAlignment="1" applyProtection="1">
      <alignment horizontal="center" vertical="center"/>
      <protection hidden="1"/>
    </xf>
    <xf numFmtId="9" fontId="106" fillId="3" borderId="135" xfId="8" applyFont="1" applyFill="1" applyBorder="1" applyAlignment="1" applyProtection="1">
      <alignment horizontal="center" vertical="center"/>
      <protection hidden="1"/>
    </xf>
    <xf numFmtId="0" fontId="116" fillId="8" borderId="142" xfId="0" applyFont="1" applyFill="1" applyBorder="1" applyAlignment="1">
      <alignment horizontal="center" vertical="center" textRotation="90" wrapText="1"/>
    </xf>
    <xf numFmtId="0" fontId="116" fillId="8" borderId="143" xfId="0" applyFont="1" applyFill="1" applyBorder="1" applyAlignment="1">
      <alignment horizontal="center" vertical="center" textRotation="90" wrapText="1"/>
    </xf>
    <xf numFmtId="0" fontId="116" fillId="8" borderId="144" xfId="0" applyFont="1" applyFill="1" applyBorder="1" applyAlignment="1">
      <alignment horizontal="center" vertical="center" textRotation="90" wrapText="1"/>
    </xf>
    <xf numFmtId="0" fontId="117" fillId="4" borderId="142" xfId="0" applyFont="1" applyFill="1" applyBorder="1" applyAlignment="1">
      <alignment horizontal="center" vertical="center" textRotation="90" wrapText="1"/>
    </xf>
    <xf numFmtId="0" fontId="117" fillId="4" borderId="143" xfId="0" applyFont="1" applyFill="1" applyBorder="1" applyAlignment="1">
      <alignment horizontal="center" vertical="center" textRotation="90" wrapText="1"/>
    </xf>
    <xf numFmtId="0" fontId="117" fillId="9" borderId="142" xfId="0" applyFont="1" applyFill="1" applyBorder="1" applyAlignment="1">
      <alignment horizontal="center" vertical="center" textRotation="90"/>
    </xf>
    <xf numFmtId="0" fontId="117" fillId="9" borderId="143" xfId="0" applyFont="1" applyFill="1" applyBorder="1" applyAlignment="1">
      <alignment horizontal="center" vertical="center" textRotation="90"/>
    </xf>
    <xf numFmtId="0" fontId="117" fillId="9" borderId="144" xfId="0" applyFont="1" applyFill="1" applyBorder="1" applyAlignment="1">
      <alignment horizontal="center" vertical="center" textRotation="90"/>
    </xf>
    <xf numFmtId="0" fontId="116" fillId="3" borderId="142" xfId="0" applyFont="1" applyFill="1" applyBorder="1" applyAlignment="1">
      <alignment horizontal="center" vertical="center" textRotation="90"/>
    </xf>
    <xf numFmtId="0" fontId="116" fillId="3" borderId="143" xfId="0" applyFont="1" applyFill="1" applyBorder="1" applyAlignment="1">
      <alignment horizontal="center" vertical="center" textRotation="90"/>
    </xf>
    <xf numFmtId="0" fontId="116" fillId="3" borderId="144" xfId="0" applyFont="1" applyFill="1" applyBorder="1" applyAlignment="1">
      <alignment horizontal="center" vertical="center" textRotation="90"/>
    </xf>
    <xf numFmtId="14" fontId="0" fillId="0" borderId="0" xfId="0" applyNumberFormat="1" applyAlignment="1">
      <alignment horizontal="center" vertical="center"/>
    </xf>
    <xf numFmtId="0" fontId="116" fillId="8" borderId="142" xfId="0" applyFont="1" applyFill="1" applyBorder="1" applyAlignment="1" applyProtection="1">
      <alignment horizontal="center" vertical="center" textRotation="90" wrapText="1"/>
      <protection hidden="1"/>
    </xf>
    <xf numFmtId="0" fontId="116" fillId="8" borderId="143" xfId="0" applyFont="1" applyFill="1" applyBorder="1" applyAlignment="1" applyProtection="1">
      <alignment horizontal="center" vertical="center" textRotation="90" wrapText="1"/>
      <protection hidden="1"/>
    </xf>
    <xf numFmtId="0" fontId="116" fillId="8" borderId="144" xfId="0" applyFont="1" applyFill="1" applyBorder="1" applyAlignment="1" applyProtection="1">
      <alignment horizontal="center" vertical="center" textRotation="90" wrapText="1"/>
      <protection hidden="1"/>
    </xf>
    <xf numFmtId="0" fontId="117" fillId="4" borderId="142" xfId="0" applyFont="1" applyFill="1" applyBorder="1" applyAlignment="1" applyProtection="1">
      <alignment horizontal="center" vertical="center" textRotation="90" wrapText="1"/>
      <protection hidden="1"/>
    </xf>
    <xf numFmtId="0" fontId="117" fillId="4" borderId="143" xfId="0" applyFont="1" applyFill="1" applyBorder="1" applyAlignment="1" applyProtection="1">
      <alignment horizontal="center" vertical="center" textRotation="90" wrapText="1"/>
      <protection hidden="1"/>
    </xf>
    <xf numFmtId="0" fontId="117" fillId="4" borderId="144" xfId="0" applyFont="1" applyFill="1" applyBorder="1" applyAlignment="1" applyProtection="1">
      <alignment horizontal="center" vertical="center" textRotation="90" wrapText="1"/>
      <protection hidden="1"/>
    </xf>
    <xf numFmtId="0" fontId="117" fillId="9" borderId="142" xfId="0" applyFont="1" applyFill="1" applyBorder="1" applyAlignment="1" applyProtection="1">
      <alignment horizontal="center" vertical="center" textRotation="90"/>
      <protection hidden="1"/>
    </xf>
    <xf numFmtId="0" fontId="117" fillId="9" borderId="143" xfId="0" applyFont="1" applyFill="1" applyBorder="1" applyAlignment="1" applyProtection="1">
      <alignment horizontal="center" vertical="center" textRotation="90"/>
      <protection hidden="1"/>
    </xf>
    <xf numFmtId="0" fontId="117" fillId="9" borderId="144" xfId="0" applyFont="1" applyFill="1" applyBorder="1" applyAlignment="1" applyProtection="1">
      <alignment horizontal="center" vertical="center" textRotation="90"/>
      <protection hidden="1"/>
    </xf>
    <xf numFmtId="0" fontId="116" fillId="3" borderId="142" xfId="0" applyFont="1" applyFill="1" applyBorder="1" applyAlignment="1" applyProtection="1">
      <alignment horizontal="center" vertical="center" textRotation="90"/>
      <protection hidden="1"/>
    </xf>
    <xf numFmtId="0" fontId="116" fillId="3" borderId="143" xfId="0" applyFont="1" applyFill="1" applyBorder="1" applyAlignment="1" applyProtection="1">
      <alignment horizontal="center" vertical="center" textRotation="90"/>
      <protection hidden="1"/>
    </xf>
    <xf numFmtId="0" fontId="116" fillId="3" borderId="144" xfId="0" applyFont="1" applyFill="1" applyBorder="1" applyAlignment="1" applyProtection="1">
      <alignment horizontal="center" vertical="center" textRotation="90"/>
      <protection hidden="1"/>
    </xf>
    <xf numFmtId="0" fontId="100" fillId="0" borderId="0" xfId="0" applyFont="1" applyAlignment="1">
      <alignment horizontal="center"/>
    </xf>
  </cellXfs>
  <cellStyles count="9">
    <cellStyle name="Hipervínculo" xfId="3" builtinId="8"/>
    <cellStyle name="Hipervínculo 2" xfId="5" xr:uid="{914A2531-C75D-499F-BBA2-1635192DAE6F}"/>
    <cellStyle name="Millares" xfId="7" builtinId="3"/>
    <cellStyle name="Millares 2" xfId="6" xr:uid="{781CC462-70AB-43A4-9607-A0149FD2B522}"/>
    <cellStyle name="Moneda" xfId="1" builtinId="4"/>
    <cellStyle name="Moneda 2" xfId="2" xr:uid="{B10C6DAF-F52F-4D3C-9E0C-08AEECF73144}"/>
    <cellStyle name="Normal" xfId="0" builtinId="0"/>
    <cellStyle name="Normal 2" xfId="4" xr:uid="{FCBD95D0-F114-492E-B2DD-2B5AEDD4D26F}"/>
    <cellStyle name="Porcentaje" xfId="8" builtinId="5"/>
  </cellStyles>
  <dxfs count="51">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ont>
        <u val="none"/>
        <color theme="0"/>
      </font>
      <fill>
        <patternFill patternType="none">
          <bgColor auto="1"/>
        </patternFill>
      </fill>
      <border>
        <left/>
        <right/>
        <top/>
        <bottom/>
        <vertical/>
        <horizontal/>
      </border>
    </dxf>
    <dxf>
      <font>
        <b/>
        <i val="0"/>
        <color rgb="FFF3BD48"/>
      </font>
      <fill>
        <patternFill>
          <bgColor rgb="FF025C67"/>
        </patternFill>
      </fill>
      <border>
        <left style="thin">
          <color rgb="FFF3BD48"/>
        </left>
        <right style="thin">
          <color rgb="FFF3BD48"/>
        </right>
        <top/>
        <bottom style="thin">
          <color rgb="FFF3BD48"/>
        </bottom>
        <vertical/>
        <horizontal/>
      </border>
    </dxf>
    <dxf>
      <font>
        <b/>
        <i val="0"/>
        <color rgb="FFF3BD48"/>
      </font>
      <fill>
        <patternFill>
          <bgColor rgb="FF025C67"/>
        </patternFill>
      </fill>
      <border>
        <left style="thin">
          <color rgb="FFF3BD48"/>
        </left>
        <right style="thin">
          <color rgb="FFF3BD48"/>
        </right>
        <top style="thin">
          <color rgb="FFF3BD48"/>
        </top>
        <bottom/>
        <vertical/>
        <horizontal/>
      </border>
    </dxf>
    <dxf>
      <font>
        <b/>
        <i val="0"/>
        <color theme="0"/>
      </font>
      <fill>
        <patternFill patternType="none">
          <bgColor auto="1"/>
        </patternFill>
      </fill>
      <border>
        <left/>
        <right/>
        <top/>
        <bottom/>
        <vertical/>
        <horizontal/>
      </border>
    </dxf>
    <dxf>
      <fill>
        <patternFill patternType="none">
          <bgColor auto="1"/>
        </patternFill>
      </fill>
      <border>
        <left/>
        <right/>
        <top/>
        <bottom/>
        <vertical/>
        <horizontal/>
      </border>
    </dxf>
    <dxf>
      <font>
        <color rgb="FFFF0000"/>
      </font>
    </dxf>
    <dxf>
      <font>
        <b/>
        <i val="0"/>
        <strike val="0"/>
        <color rgb="FF00B050"/>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color rgb="FFFF0000"/>
      </font>
    </dxf>
    <dxf>
      <font>
        <b/>
        <i val="0"/>
        <strike val="0"/>
        <color rgb="FF00B050"/>
      </font>
    </dxf>
  </dxfs>
  <tableStyles count="0" defaultTableStyle="TableStyleMedium9" defaultPivotStyle="PivotStyleLight16"/>
  <colors>
    <mruColors>
      <color rgb="FFF3BD48"/>
      <color rgb="FF025C67"/>
      <color rgb="FFF5F8EE"/>
      <color rgb="FFFBF7DB"/>
      <color rgb="FFFDFFEF"/>
      <color rgb="FFFCEED0"/>
      <color rgb="FFFF5353"/>
      <color rgb="FFFBFFFF"/>
      <color rgb="FF30665E"/>
      <color rgb="FFEB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 Target="richData/rdrichvalue.xml"/><Relationship Id="rId35" Type="http://schemas.microsoft.com/office/2017/10/relationships/person" Target="persons/perso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rgbClr val="025C67"/>
                </a:solidFill>
                <a:latin typeface="Arial Rounded MT Bold" panose="020F0704030504030204" pitchFamily="34" charset="0"/>
                <a:ea typeface="+mn-ea"/>
                <a:cs typeface="+mn-cs"/>
              </a:defRPr>
            </a:pPr>
            <a:r>
              <a:rPr lang="en-GB">
                <a:solidFill>
                  <a:srgbClr val="025C67"/>
                </a:solidFill>
                <a:latin typeface="Arial Rounded MT Bold" panose="020F0704030504030204" pitchFamily="34" charset="0"/>
              </a:rPr>
              <a:t>Análisis de Flujos de Pensión Recibidos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rgbClr val="025C67"/>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1186-4773-AFA7-F15841BD5280}"/>
            </c:ext>
          </c:extLst>
        </c:ser>
        <c:ser>
          <c:idx val="1"/>
          <c:order val="1"/>
          <c:tx>
            <c:strRef>
              <c:f>Sheet1!$M$1</c:f>
              <c:strCache>
                <c:ptCount val="1"/>
                <c:pt idx="0">
                  <c:v>Con Modalidad 40</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Pt>
            <c:idx val="157"/>
            <c:invertIfNegative val="0"/>
            <c:bubble3D val="0"/>
            <c:spPr>
              <a:pattFill prst="narHorz">
                <a:fgClr>
                  <a:schemeClr val="accent2"/>
                </a:fgClr>
                <a:bgClr>
                  <a:schemeClr val="accent2">
                    <a:lumMod val="20000"/>
                    <a:lumOff val="80000"/>
                  </a:schemeClr>
                </a:bgClr>
              </a:pattFill>
              <a:ln>
                <a:noFill/>
              </a:ln>
              <a:effectLst>
                <a:innerShdw blurRad="114300">
                  <a:srgbClr val="025C67"/>
                </a:innerShdw>
              </a:effectLst>
            </c:spPr>
            <c:extLst>
              <c:ext xmlns:c16="http://schemas.microsoft.com/office/drawing/2014/chart" uri="{C3380CC4-5D6E-409C-BE32-E72D297353CC}">
                <c16:uniqueId val="{00000000-8373-426D-9082-2C8A1D9B1E0A}"/>
              </c:ext>
            </c:extLst>
          </c:dPt>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Sheet1!$P$7:$P$247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-174293.34893596958</c:v>
                </c:pt>
                <c:pt idx="12">
                  <c:v>-97929.672999958639</c:v>
                </c:pt>
                <c:pt idx="13">
                  <c:v>-21565.997063947696</c:v>
                </c:pt>
                <c:pt idx="14">
                  <c:v>54797.678872063247</c:v>
                </c:pt>
                <c:pt idx="15">
                  <c:v>131161.35480807419</c:v>
                </c:pt>
                <c:pt idx="16">
                  <c:v>207525.03074408515</c:v>
                </c:pt>
                <c:pt idx="17">
                  <c:v>283888.7066800961</c:v>
                </c:pt>
                <c:pt idx="18">
                  <c:v>360252.38261610706</c:v>
                </c:pt>
                <c:pt idx="19">
                  <c:v>436616.05855211802</c:v>
                </c:pt>
                <c:pt idx="20">
                  <c:v>512979.73448812898</c:v>
                </c:pt>
                <c:pt idx="21">
                  <c:v>589343.41042413993</c:v>
                </c:pt>
                <c:pt idx="22">
                  <c:v>665707.08636015083</c:v>
                </c:pt>
                <c:pt idx="23">
                  <c:v>742070.76229616173</c:v>
                </c:pt>
                <c:pt idx="24">
                  <c:v>818434.43823217263</c:v>
                </c:pt>
                <c:pt idx="25">
                  <c:v>894798.11416818353</c:v>
                </c:pt>
                <c:pt idx="26">
                  <c:v>971161.79010419443</c:v>
                </c:pt>
                <c:pt idx="27">
                  <c:v>1047525.4660402053</c:v>
                </c:pt>
                <c:pt idx="28">
                  <c:v>1123889.1419762163</c:v>
                </c:pt>
                <c:pt idx="29">
                  <c:v>1200252.8179122272</c:v>
                </c:pt>
                <c:pt idx="30">
                  <c:v>1276616.4938482381</c:v>
                </c:pt>
                <c:pt idx="31">
                  <c:v>1352980.169784249</c:v>
                </c:pt>
                <c:pt idx="32">
                  <c:v>1429343.8457202599</c:v>
                </c:pt>
                <c:pt idx="33">
                  <c:v>1505707.5216562708</c:v>
                </c:pt>
                <c:pt idx="34">
                  <c:v>1582071.1975922817</c:v>
                </c:pt>
                <c:pt idx="35">
                  <c:v>1658434.8735282926</c:v>
                </c:pt>
                <c:pt idx="36">
                  <c:v>1734798.5494643035</c:v>
                </c:pt>
                <c:pt idx="37">
                  <c:v>1811162.2254003144</c:v>
                </c:pt>
                <c:pt idx="38">
                  <c:v>1887525.9013363253</c:v>
                </c:pt>
                <c:pt idx="39">
                  <c:v>1963889.5772723362</c:v>
                </c:pt>
                <c:pt idx="40">
                  <c:v>2040253.2532083471</c:v>
                </c:pt>
                <c:pt idx="41">
                  <c:v>2116616.9291443583</c:v>
                </c:pt>
                <c:pt idx="42">
                  <c:v>2192980.6050803694</c:v>
                </c:pt>
                <c:pt idx="43">
                  <c:v>2269344.2810163805</c:v>
                </c:pt>
                <c:pt idx="44">
                  <c:v>2345707.9569523917</c:v>
                </c:pt>
                <c:pt idx="45">
                  <c:v>2422071.6328884028</c:v>
                </c:pt>
                <c:pt idx="46">
                  <c:v>2498435.3088244139</c:v>
                </c:pt>
                <c:pt idx="47">
                  <c:v>2574798.9847604251</c:v>
                </c:pt>
                <c:pt idx="48">
                  <c:v>2651162.6606964362</c:v>
                </c:pt>
                <c:pt idx="49">
                  <c:v>2727526.3366324473</c:v>
                </c:pt>
                <c:pt idx="50">
                  <c:v>2803890.0125684584</c:v>
                </c:pt>
                <c:pt idx="51">
                  <c:v>2880253.6885044696</c:v>
                </c:pt>
                <c:pt idx="52">
                  <c:v>2956617.3644404807</c:v>
                </c:pt>
                <c:pt idx="53">
                  <c:v>3032981.0403764918</c:v>
                </c:pt>
                <c:pt idx="54">
                  <c:v>3109344.716312503</c:v>
                </c:pt>
                <c:pt idx="55">
                  <c:v>3185708.3922485141</c:v>
                </c:pt>
                <c:pt idx="56">
                  <c:v>3262072.0681845252</c:v>
                </c:pt>
                <c:pt idx="57">
                  <c:v>3338435.7441205364</c:v>
                </c:pt>
                <c:pt idx="58">
                  <c:v>3414799.4200565475</c:v>
                </c:pt>
                <c:pt idx="59">
                  <c:v>3491163.0959925586</c:v>
                </c:pt>
                <c:pt idx="60">
                  <c:v>3567526.7719285698</c:v>
                </c:pt>
                <c:pt idx="61">
                  <c:v>3643890.4478645809</c:v>
                </c:pt>
                <c:pt idx="62">
                  <c:v>3720254.123800592</c:v>
                </c:pt>
                <c:pt idx="63">
                  <c:v>3796617.7997366032</c:v>
                </c:pt>
                <c:pt idx="64">
                  <c:v>3872981.4756726143</c:v>
                </c:pt>
                <c:pt idx="65">
                  <c:v>3949345.1516086254</c:v>
                </c:pt>
                <c:pt idx="66">
                  <c:v>4025708.8275446366</c:v>
                </c:pt>
                <c:pt idx="67">
                  <c:v>4102072.5034806477</c:v>
                </c:pt>
                <c:pt idx="68">
                  <c:v>4178436.1794166588</c:v>
                </c:pt>
                <c:pt idx="69">
                  <c:v>4254799.85535267</c:v>
                </c:pt>
                <c:pt idx="70">
                  <c:v>4331163.5312886806</c:v>
                </c:pt>
                <c:pt idx="71">
                  <c:v>4407527.2072246913</c:v>
                </c:pt>
                <c:pt idx="72">
                  <c:v>4483890.883160702</c:v>
                </c:pt>
                <c:pt idx="73">
                  <c:v>4560254.5590967126</c:v>
                </c:pt>
                <c:pt idx="74">
                  <c:v>4636618.2350327233</c:v>
                </c:pt>
                <c:pt idx="75">
                  <c:v>4712981.910968734</c:v>
                </c:pt>
                <c:pt idx="76">
                  <c:v>4789345.5869047446</c:v>
                </c:pt>
                <c:pt idx="77">
                  <c:v>4865709.2628407553</c:v>
                </c:pt>
                <c:pt idx="78">
                  <c:v>4942072.938776766</c:v>
                </c:pt>
                <c:pt idx="79">
                  <c:v>5018436.6147127766</c:v>
                </c:pt>
                <c:pt idx="80">
                  <c:v>5094800.2906487873</c:v>
                </c:pt>
                <c:pt idx="81">
                  <c:v>5171163.9665847979</c:v>
                </c:pt>
                <c:pt idx="82">
                  <c:v>5247527.6425208086</c:v>
                </c:pt>
                <c:pt idx="83">
                  <c:v>5323891.3184568193</c:v>
                </c:pt>
                <c:pt idx="84">
                  <c:v>5400254.9943928299</c:v>
                </c:pt>
                <c:pt idx="85">
                  <c:v>5476618.6703288406</c:v>
                </c:pt>
                <c:pt idx="86">
                  <c:v>5552982.3462648513</c:v>
                </c:pt>
                <c:pt idx="87">
                  <c:v>5629346.0222008619</c:v>
                </c:pt>
                <c:pt idx="88">
                  <c:v>5705709.6981368726</c:v>
                </c:pt>
                <c:pt idx="89">
                  <c:v>5782073.3740728833</c:v>
                </c:pt>
                <c:pt idx="90">
                  <c:v>5858437.0500088939</c:v>
                </c:pt>
                <c:pt idx="91">
                  <c:v>5934800.7259449046</c:v>
                </c:pt>
                <c:pt idx="92">
                  <c:v>6011164.4018809153</c:v>
                </c:pt>
                <c:pt idx="93">
                  <c:v>6087528.0778169259</c:v>
                </c:pt>
                <c:pt idx="94">
                  <c:v>6163891.7537529366</c:v>
                </c:pt>
                <c:pt idx="95">
                  <c:v>6240255.4296889473</c:v>
                </c:pt>
                <c:pt idx="96">
                  <c:v>6316619.1056249579</c:v>
                </c:pt>
                <c:pt idx="97">
                  <c:v>6392982.7815609686</c:v>
                </c:pt>
                <c:pt idx="98">
                  <c:v>6469346.4574969793</c:v>
                </c:pt>
                <c:pt idx="99">
                  <c:v>6545710.1334329899</c:v>
                </c:pt>
                <c:pt idx="100">
                  <c:v>6622073.8093690006</c:v>
                </c:pt>
                <c:pt idx="101">
                  <c:v>6698437.4853050113</c:v>
                </c:pt>
                <c:pt idx="102">
                  <c:v>6774801.1612410219</c:v>
                </c:pt>
                <c:pt idx="103">
                  <c:v>6851164.8371770326</c:v>
                </c:pt>
                <c:pt idx="104">
                  <c:v>6927528.5131130433</c:v>
                </c:pt>
                <c:pt idx="105">
                  <c:v>7003892.1890490539</c:v>
                </c:pt>
                <c:pt idx="106">
                  <c:v>7080255.8649850646</c:v>
                </c:pt>
                <c:pt idx="107">
                  <c:v>7156619.5409210753</c:v>
                </c:pt>
                <c:pt idx="108">
                  <c:v>7232983.2168570859</c:v>
                </c:pt>
                <c:pt idx="109">
                  <c:v>7309346.8927930966</c:v>
                </c:pt>
                <c:pt idx="110">
                  <c:v>7385710.5687291073</c:v>
                </c:pt>
                <c:pt idx="111">
                  <c:v>7462074.2446651179</c:v>
                </c:pt>
                <c:pt idx="112">
                  <c:v>7538437.9206011286</c:v>
                </c:pt>
                <c:pt idx="113">
                  <c:v>7614801.5965371393</c:v>
                </c:pt>
                <c:pt idx="114">
                  <c:v>7691165.2724731499</c:v>
                </c:pt>
                <c:pt idx="115">
                  <c:v>7767528.9484091606</c:v>
                </c:pt>
                <c:pt idx="116">
                  <c:v>7843892.6243451713</c:v>
                </c:pt>
                <c:pt idx="117">
                  <c:v>7920256.3002811819</c:v>
                </c:pt>
                <c:pt idx="118">
                  <c:v>7996619.9762171926</c:v>
                </c:pt>
                <c:pt idx="119">
                  <c:v>8072983.6521532033</c:v>
                </c:pt>
                <c:pt idx="120">
                  <c:v>8149347.3280892139</c:v>
                </c:pt>
                <c:pt idx="121">
                  <c:v>8225711.0040252246</c:v>
                </c:pt>
                <c:pt idx="122">
                  <c:v>8302074.6799612353</c:v>
                </c:pt>
                <c:pt idx="123">
                  <c:v>8378438.3558972459</c:v>
                </c:pt>
                <c:pt idx="124">
                  <c:v>8454802.0318332575</c:v>
                </c:pt>
                <c:pt idx="125">
                  <c:v>8531165.7077692691</c:v>
                </c:pt>
                <c:pt idx="126">
                  <c:v>8607529.3837052807</c:v>
                </c:pt>
                <c:pt idx="127">
                  <c:v>8683893.0596412923</c:v>
                </c:pt>
                <c:pt idx="128">
                  <c:v>8760256.7355773039</c:v>
                </c:pt>
                <c:pt idx="129">
                  <c:v>8836620.4115133155</c:v>
                </c:pt>
                <c:pt idx="130">
                  <c:v>8912984.0874493271</c:v>
                </c:pt>
                <c:pt idx="131">
                  <c:v>8989347.7633853387</c:v>
                </c:pt>
                <c:pt idx="132">
                  <c:v>9065711.4393213503</c:v>
                </c:pt>
                <c:pt idx="133">
                  <c:v>9142075.1152573619</c:v>
                </c:pt>
                <c:pt idx="134">
                  <c:v>9218438.7911933735</c:v>
                </c:pt>
                <c:pt idx="135">
                  <c:v>9294802.4671293851</c:v>
                </c:pt>
                <c:pt idx="136">
                  <c:v>9371166.1430653967</c:v>
                </c:pt>
                <c:pt idx="137">
                  <c:v>9447529.8190014083</c:v>
                </c:pt>
                <c:pt idx="138">
                  <c:v>9523893.4949374199</c:v>
                </c:pt>
                <c:pt idx="139">
                  <c:v>9600257.1708734315</c:v>
                </c:pt>
                <c:pt idx="140">
                  <c:v>9676620.8468094431</c:v>
                </c:pt>
                <c:pt idx="141">
                  <c:v>9752984.5227454547</c:v>
                </c:pt>
                <c:pt idx="142">
                  <c:v>9829348.1986814663</c:v>
                </c:pt>
                <c:pt idx="143">
                  <c:v>9905711.8746174779</c:v>
                </c:pt>
                <c:pt idx="144">
                  <c:v>9982075.5505534895</c:v>
                </c:pt>
                <c:pt idx="145">
                  <c:v>10058439.226489501</c:v>
                </c:pt>
                <c:pt idx="146">
                  <c:v>10134802.902425513</c:v>
                </c:pt>
                <c:pt idx="147">
                  <c:v>10211166.578361524</c:v>
                </c:pt>
                <c:pt idx="148">
                  <c:v>10287530.254297536</c:v>
                </c:pt>
                <c:pt idx="149">
                  <c:v>10363893.930233547</c:v>
                </c:pt>
                <c:pt idx="150">
                  <c:v>10440257.606169559</c:v>
                </c:pt>
                <c:pt idx="151">
                  <c:v>10516621.282105571</c:v>
                </c:pt>
                <c:pt idx="152">
                  <c:v>10592984.958041582</c:v>
                </c:pt>
                <c:pt idx="153">
                  <c:v>10669348.633977594</c:v>
                </c:pt>
                <c:pt idx="154">
                  <c:v>10745712.309913605</c:v>
                </c:pt>
                <c:pt idx="155">
                  <c:v>10822075.985849617</c:v>
                </c:pt>
                <c:pt idx="156">
                  <c:v>10898439.661785629</c:v>
                </c:pt>
                <c:pt idx="157">
                  <c:v>10974803.33772164</c:v>
                </c:pt>
                <c:pt idx="158">
                  <c:v>11051167.013657652</c:v>
                </c:pt>
                <c:pt idx="159">
                  <c:v>11127530.689593663</c:v>
                </c:pt>
                <c:pt idx="160">
                  <c:v>11203894.365529675</c:v>
                </c:pt>
                <c:pt idx="161">
                  <c:v>11280258.041465687</c:v>
                </c:pt>
                <c:pt idx="162">
                  <c:v>11356621.717401698</c:v>
                </c:pt>
                <c:pt idx="163">
                  <c:v>11432985.39333771</c:v>
                </c:pt>
                <c:pt idx="164">
                  <c:v>11509349.069273721</c:v>
                </c:pt>
                <c:pt idx="165">
                  <c:v>11585712.745209733</c:v>
                </c:pt>
                <c:pt idx="166">
                  <c:v>11662076.421145745</c:v>
                </c:pt>
                <c:pt idx="167">
                  <c:v>11738440.097081756</c:v>
                </c:pt>
                <c:pt idx="168">
                  <c:v>11814803.773017768</c:v>
                </c:pt>
                <c:pt idx="169">
                  <c:v>11891167.448953779</c:v>
                </c:pt>
                <c:pt idx="170">
                  <c:v>11967531.124889791</c:v>
                </c:pt>
                <c:pt idx="171">
                  <c:v>12043894.800825803</c:v>
                </c:pt>
                <c:pt idx="172">
                  <c:v>12120258.476761814</c:v>
                </c:pt>
                <c:pt idx="173">
                  <c:v>12196622.152697826</c:v>
                </c:pt>
                <c:pt idx="174">
                  <c:v>12272985.828633837</c:v>
                </c:pt>
                <c:pt idx="175">
                  <c:v>12349349.504569849</c:v>
                </c:pt>
                <c:pt idx="176">
                  <c:v>12425713.180505861</c:v>
                </c:pt>
                <c:pt idx="177">
                  <c:v>12502076.856441872</c:v>
                </c:pt>
                <c:pt idx="178">
                  <c:v>12578440.532377884</c:v>
                </c:pt>
                <c:pt idx="179">
                  <c:v>12654804.208313895</c:v>
                </c:pt>
                <c:pt idx="180">
                  <c:v>12731167.884249907</c:v>
                </c:pt>
                <c:pt idx="181">
                  <c:v>12807531.560185919</c:v>
                </c:pt>
                <c:pt idx="182">
                  <c:v>12883895.23612193</c:v>
                </c:pt>
                <c:pt idx="183">
                  <c:v>12960258.912057942</c:v>
                </c:pt>
                <c:pt idx="184">
                  <c:v>13036622.587993953</c:v>
                </c:pt>
                <c:pt idx="185">
                  <c:v>13112986.263929965</c:v>
                </c:pt>
                <c:pt idx="186">
                  <c:v>13189349.939865977</c:v>
                </c:pt>
                <c:pt idx="187">
                  <c:v>13265713.615801988</c:v>
                </c:pt>
                <c:pt idx="188">
                  <c:v>13342077.291738</c:v>
                </c:pt>
                <c:pt idx="189">
                  <c:v>13418440.967674011</c:v>
                </c:pt>
                <c:pt idx="190">
                  <c:v>13494804.643610023</c:v>
                </c:pt>
                <c:pt idx="191">
                  <c:v>13571168.319546035</c:v>
                </c:pt>
                <c:pt idx="192">
                  <c:v>13647531.995482046</c:v>
                </c:pt>
                <c:pt idx="193">
                  <c:v>13723895.671418058</c:v>
                </c:pt>
                <c:pt idx="194">
                  <c:v>13800259.347354069</c:v>
                </c:pt>
                <c:pt idx="195">
                  <c:v>13876623.023290081</c:v>
                </c:pt>
                <c:pt idx="196">
                  <c:v>13952986.699226093</c:v>
                </c:pt>
                <c:pt idx="197">
                  <c:v>14029350.375162104</c:v>
                </c:pt>
                <c:pt idx="198">
                  <c:v>14105714.051098116</c:v>
                </c:pt>
                <c:pt idx="199">
                  <c:v>14182077.727034127</c:v>
                </c:pt>
                <c:pt idx="200">
                  <c:v>14258441.402970139</c:v>
                </c:pt>
                <c:pt idx="201">
                  <c:v>14334805.078906151</c:v>
                </c:pt>
                <c:pt idx="202">
                  <c:v>14411168.754842162</c:v>
                </c:pt>
                <c:pt idx="203">
                  <c:v>14487532.430778174</c:v>
                </c:pt>
                <c:pt idx="204">
                  <c:v>14563896.106714185</c:v>
                </c:pt>
                <c:pt idx="205">
                  <c:v>14640259.782650197</c:v>
                </c:pt>
                <c:pt idx="206">
                  <c:v>14716623.458586209</c:v>
                </c:pt>
                <c:pt idx="207">
                  <c:v>14792987.13452222</c:v>
                </c:pt>
                <c:pt idx="208">
                  <c:v>14869350.810458232</c:v>
                </c:pt>
                <c:pt idx="209">
                  <c:v>14945714.486394243</c:v>
                </c:pt>
                <c:pt idx="210">
                  <c:v>15022078.162330255</c:v>
                </c:pt>
                <c:pt idx="211">
                  <c:v>15098441.838266267</c:v>
                </c:pt>
                <c:pt idx="212">
                  <c:v>15174805.514202278</c:v>
                </c:pt>
                <c:pt idx="213">
                  <c:v>15251169.19013829</c:v>
                </c:pt>
                <c:pt idx="214">
                  <c:v>15327532.866074301</c:v>
                </c:pt>
                <c:pt idx="215">
                  <c:v>15403896.542010313</c:v>
                </c:pt>
                <c:pt idx="216">
                  <c:v>15480260.217946324</c:v>
                </c:pt>
                <c:pt idx="217">
                  <c:v>15556623.893882336</c:v>
                </c:pt>
                <c:pt idx="218">
                  <c:v>15632987.569818348</c:v>
                </c:pt>
                <c:pt idx="219">
                  <c:v>15709351.245754359</c:v>
                </c:pt>
                <c:pt idx="220">
                  <c:v>15785714.921690371</c:v>
                </c:pt>
                <c:pt idx="221">
                  <c:v>15862078.597626382</c:v>
                </c:pt>
                <c:pt idx="222">
                  <c:v>15938442.273562394</c:v>
                </c:pt>
                <c:pt idx="223">
                  <c:v>16014805.949498406</c:v>
                </c:pt>
                <c:pt idx="224">
                  <c:v>16091169.625434417</c:v>
                </c:pt>
                <c:pt idx="225">
                  <c:v>16167533.301370429</c:v>
                </c:pt>
                <c:pt idx="226">
                  <c:v>16243896.97730644</c:v>
                </c:pt>
                <c:pt idx="227">
                  <c:v>16320260.653242452</c:v>
                </c:pt>
                <c:pt idx="228">
                  <c:v>16396624.329178464</c:v>
                </c:pt>
                <c:pt idx="229">
                  <c:v>16472988.005114475</c:v>
                </c:pt>
                <c:pt idx="230">
                  <c:v>16549351.681050487</c:v>
                </c:pt>
                <c:pt idx="231">
                  <c:v>16625715.356986498</c:v>
                </c:pt>
                <c:pt idx="232">
                  <c:v>16702079.03292251</c:v>
                </c:pt>
                <c:pt idx="233">
                  <c:v>16778442.70885852</c:v>
                </c:pt>
                <c:pt idx="234">
                  <c:v>16854806.38479453</c:v>
                </c:pt>
                <c:pt idx="235">
                  <c:v>16931170.060730539</c:v>
                </c:pt>
                <c:pt idx="236">
                  <c:v>17007533.736666549</c:v>
                </c:pt>
                <c:pt idx="237">
                  <c:v>17083897.412602559</c:v>
                </c:pt>
                <c:pt idx="238">
                  <c:v>17160261.088538568</c:v>
                </c:pt>
                <c:pt idx="239">
                  <c:v>17236624.764474578</c:v>
                </c:pt>
                <c:pt idx="240">
                  <c:v>17312988.440410588</c:v>
                </c:pt>
              </c:numCache>
            </c:numRef>
          </c:val>
          <c:extLst>
            <c:ext xmlns:c16="http://schemas.microsoft.com/office/drawing/2014/chart" uri="{C3380CC4-5D6E-409C-BE32-E72D297353CC}">
              <c16:uniqueId val="{00000001-1186-4773-AFA7-F15841BD5280}"/>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0" cap="flat" cmpd="sng" algn="ctr">
      <a:solidFill>
        <a:srgbClr val="025C67"/>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r>
              <a:rPr lang="en-GB" sz="1400" b="0">
                <a:solidFill>
                  <a:sysClr val="windowText" lastClr="000000"/>
                </a:solidFill>
                <a:latin typeface="Arial Rounded MT Bold" panose="020F0704030504030204" pitchFamily="34" charset="0"/>
              </a:rPr>
              <a:t>Análisis de Flujos de Pensión        Recibidos - MOD</a:t>
            </a:r>
            <a:r>
              <a:rPr lang="en-GB" sz="1400" b="0" baseline="0">
                <a:solidFill>
                  <a:sysClr val="windowText" lastClr="000000"/>
                </a:solidFill>
                <a:latin typeface="Arial Rounded MT Bold" panose="020F0704030504030204" pitchFamily="34" charset="0"/>
              </a:rPr>
              <a:t> 40 RECURRENTE</a:t>
            </a:r>
            <a:endParaRPr lang="en-GB" sz="1400" b="0">
              <a:solidFill>
                <a:sysClr val="windowText" lastClr="000000"/>
              </a:solidFill>
              <a:latin typeface="Arial Rounded MT Bold" panose="020F07040305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A871-4926-8D88-14F300E2E842}"/>
            </c:ext>
          </c:extLst>
        </c:ser>
        <c:ser>
          <c:idx val="1"/>
          <c:order val="1"/>
          <c:tx>
            <c:strRef>
              <c:f>Sheet1!$M$1</c:f>
              <c:strCache>
                <c:ptCount val="1"/>
                <c:pt idx="0">
                  <c:v>Con Modalidad 40</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Sheet1!$P$7:$P$247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-174293.34893596958</c:v>
                </c:pt>
                <c:pt idx="12">
                  <c:v>-97929.672999958639</c:v>
                </c:pt>
                <c:pt idx="13">
                  <c:v>-21565.997063947696</c:v>
                </c:pt>
                <c:pt idx="14">
                  <c:v>54797.678872063247</c:v>
                </c:pt>
                <c:pt idx="15">
                  <c:v>131161.35480807419</c:v>
                </c:pt>
                <c:pt idx="16">
                  <c:v>207525.03074408515</c:v>
                </c:pt>
                <c:pt idx="17">
                  <c:v>283888.7066800961</c:v>
                </c:pt>
                <c:pt idx="18">
                  <c:v>360252.38261610706</c:v>
                </c:pt>
                <c:pt idx="19">
                  <c:v>436616.05855211802</c:v>
                </c:pt>
                <c:pt idx="20">
                  <c:v>512979.73448812898</c:v>
                </c:pt>
                <c:pt idx="21">
                  <c:v>589343.41042413993</c:v>
                </c:pt>
                <c:pt idx="22">
                  <c:v>665707.08636015083</c:v>
                </c:pt>
                <c:pt idx="23">
                  <c:v>742070.76229616173</c:v>
                </c:pt>
                <c:pt idx="24">
                  <c:v>818434.43823217263</c:v>
                </c:pt>
                <c:pt idx="25">
                  <c:v>894798.11416818353</c:v>
                </c:pt>
                <c:pt idx="26">
                  <c:v>971161.79010419443</c:v>
                </c:pt>
                <c:pt idx="27">
                  <c:v>1047525.4660402053</c:v>
                </c:pt>
                <c:pt idx="28">
                  <c:v>1123889.1419762163</c:v>
                </c:pt>
                <c:pt idx="29">
                  <c:v>1200252.8179122272</c:v>
                </c:pt>
                <c:pt idx="30">
                  <c:v>1276616.4938482381</c:v>
                </c:pt>
                <c:pt idx="31">
                  <c:v>1352980.169784249</c:v>
                </c:pt>
                <c:pt idx="32">
                  <c:v>1429343.8457202599</c:v>
                </c:pt>
                <c:pt idx="33">
                  <c:v>1505707.5216562708</c:v>
                </c:pt>
                <c:pt idx="34">
                  <c:v>1582071.1975922817</c:v>
                </c:pt>
                <c:pt idx="35">
                  <c:v>1658434.8735282926</c:v>
                </c:pt>
                <c:pt idx="36">
                  <c:v>1734798.5494643035</c:v>
                </c:pt>
                <c:pt idx="37">
                  <c:v>1811162.2254003144</c:v>
                </c:pt>
                <c:pt idx="38">
                  <c:v>1887525.9013363253</c:v>
                </c:pt>
                <c:pt idx="39">
                  <c:v>1963889.5772723362</c:v>
                </c:pt>
                <c:pt idx="40">
                  <c:v>2040253.2532083471</c:v>
                </c:pt>
                <c:pt idx="41">
                  <c:v>2116616.9291443583</c:v>
                </c:pt>
                <c:pt idx="42">
                  <c:v>2192980.6050803694</c:v>
                </c:pt>
                <c:pt idx="43">
                  <c:v>2269344.2810163805</c:v>
                </c:pt>
                <c:pt idx="44">
                  <c:v>2345707.9569523917</c:v>
                </c:pt>
                <c:pt idx="45">
                  <c:v>2422071.6328884028</c:v>
                </c:pt>
                <c:pt idx="46">
                  <c:v>2498435.3088244139</c:v>
                </c:pt>
                <c:pt idx="47">
                  <c:v>2574798.9847604251</c:v>
                </c:pt>
                <c:pt idx="48">
                  <c:v>2651162.6606964362</c:v>
                </c:pt>
                <c:pt idx="49">
                  <c:v>2727526.3366324473</c:v>
                </c:pt>
                <c:pt idx="50">
                  <c:v>2803890.0125684584</c:v>
                </c:pt>
                <c:pt idx="51">
                  <c:v>2880253.6885044696</c:v>
                </c:pt>
                <c:pt idx="52">
                  <c:v>2956617.3644404807</c:v>
                </c:pt>
                <c:pt idx="53">
                  <c:v>3032981.0403764918</c:v>
                </c:pt>
                <c:pt idx="54">
                  <c:v>3109344.716312503</c:v>
                </c:pt>
                <c:pt idx="55">
                  <c:v>3185708.3922485141</c:v>
                </c:pt>
                <c:pt idx="56">
                  <c:v>3262072.0681845252</c:v>
                </c:pt>
                <c:pt idx="57">
                  <c:v>3338435.7441205364</c:v>
                </c:pt>
                <c:pt idx="58">
                  <c:v>3414799.4200565475</c:v>
                </c:pt>
                <c:pt idx="59">
                  <c:v>3491163.0959925586</c:v>
                </c:pt>
                <c:pt idx="60">
                  <c:v>3567526.7719285698</c:v>
                </c:pt>
                <c:pt idx="61">
                  <c:v>3643890.4478645809</c:v>
                </c:pt>
                <c:pt idx="62">
                  <c:v>3720254.123800592</c:v>
                </c:pt>
                <c:pt idx="63">
                  <c:v>3796617.7997366032</c:v>
                </c:pt>
                <c:pt idx="64">
                  <c:v>3872981.4756726143</c:v>
                </c:pt>
                <c:pt idx="65">
                  <c:v>3949345.1516086254</c:v>
                </c:pt>
                <c:pt idx="66">
                  <c:v>4025708.8275446366</c:v>
                </c:pt>
                <c:pt idx="67">
                  <c:v>4102072.5034806477</c:v>
                </c:pt>
                <c:pt idx="68">
                  <c:v>4178436.1794166588</c:v>
                </c:pt>
                <c:pt idx="69">
                  <c:v>4254799.85535267</c:v>
                </c:pt>
                <c:pt idx="70">
                  <c:v>4331163.5312886806</c:v>
                </c:pt>
                <c:pt idx="71">
                  <c:v>4407527.2072246913</c:v>
                </c:pt>
                <c:pt idx="72">
                  <c:v>4483890.883160702</c:v>
                </c:pt>
                <c:pt idx="73">
                  <c:v>4560254.5590967126</c:v>
                </c:pt>
                <c:pt idx="74">
                  <c:v>4636618.2350327233</c:v>
                </c:pt>
                <c:pt idx="75">
                  <c:v>4712981.910968734</c:v>
                </c:pt>
                <c:pt idx="76">
                  <c:v>4789345.5869047446</c:v>
                </c:pt>
                <c:pt idx="77">
                  <c:v>4865709.2628407553</c:v>
                </c:pt>
                <c:pt idx="78">
                  <c:v>4942072.938776766</c:v>
                </c:pt>
                <c:pt idx="79">
                  <c:v>5018436.6147127766</c:v>
                </c:pt>
                <c:pt idx="80">
                  <c:v>5094800.2906487873</c:v>
                </c:pt>
                <c:pt idx="81">
                  <c:v>5171163.9665847979</c:v>
                </c:pt>
                <c:pt idx="82">
                  <c:v>5247527.6425208086</c:v>
                </c:pt>
                <c:pt idx="83">
                  <c:v>5323891.3184568193</c:v>
                </c:pt>
                <c:pt idx="84">
                  <c:v>5400254.9943928299</c:v>
                </c:pt>
                <c:pt idx="85">
                  <c:v>5476618.6703288406</c:v>
                </c:pt>
                <c:pt idx="86">
                  <c:v>5552982.3462648513</c:v>
                </c:pt>
                <c:pt idx="87">
                  <c:v>5629346.0222008619</c:v>
                </c:pt>
                <c:pt idx="88">
                  <c:v>5705709.6981368726</c:v>
                </c:pt>
                <c:pt idx="89">
                  <c:v>5782073.3740728833</c:v>
                </c:pt>
                <c:pt idx="90">
                  <c:v>5858437.0500088939</c:v>
                </c:pt>
                <c:pt idx="91">
                  <c:v>5934800.7259449046</c:v>
                </c:pt>
                <c:pt idx="92">
                  <c:v>6011164.4018809153</c:v>
                </c:pt>
                <c:pt idx="93">
                  <c:v>6087528.0778169259</c:v>
                </c:pt>
                <c:pt idx="94">
                  <c:v>6163891.7537529366</c:v>
                </c:pt>
                <c:pt idx="95">
                  <c:v>6240255.4296889473</c:v>
                </c:pt>
                <c:pt idx="96">
                  <c:v>6316619.1056249579</c:v>
                </c:pt>
                <c:pt idx="97">
                  <c:v>6392982.7815609686</c:v>
                </c:pt>
                <c:pt idx="98">
                  <c:v>6469346.4574969793</c:v>
                </c:pt>
                <c:pt idx="99">
                  <c:v>6545710.1334329899</c:v>
                </c:pt>
                <c:pt idx="100">
                  <c:v>6622073.8093690006</c:v>
                </c:pt>
                <c:pt idx="101">
                  <c:v>6698437.4853050113</c:v>
                </c:pt>
                <c:pt idx="102">
                  <c:v>6774801.1612410219</c:v>
                </c:pt>
                <c:pt idx="103">
                  <c:v>6851164.8371770326</c:v>
                </c:pt>
                <c:pt idx="104">
                  <c:v>6927528.5131130433</c:v>
                </c:pt>
                <c:pt idx="105">
                  <c:v>7003892.1890490539</c:v>
                </c:pt>
                <c:pt idx="106">
                  <c:v>7080255.8649850646</c:v>
                </c:pt>
                <c:pt idx="107">
                  <c:v>7156619.5409210753</c:v>
                </c:pt>
                <c:pt idx="108">
                  <c:v>7232983.2168570859</c:v>
                </c:pt>
                <c:pt idx="109">
                  <c:v>7309346.8927930966</c:v>
                </c:pt>
                <c:pt idx="110">
                  <c:v>7385710.5687291073</c:v>
                </c:pt>
                <c:pt idx="111">
                  <c:v>7462074.2446651179</c:v>
                </c:pt>
                <c:pt idx="112">
                  <c:v>7538437.9206011286</c:v>
                </c:pt>
                <c:pt idx="113">
                  <c:v>7614801.5965371393</c:v>
                </c:pt>
                <c:pt idx="114">
                  <c:v>7691165.2724731499</c:v>
                </c:pt>
                <c:pt idx="115">
                  <c:v>7767528.9484091606</c:v>
                </c:pt>
                <c:pt idx="116">
                  <c:v>7843892.6243451713</c:v>
                </c:pt>
                <c:pt idx="117">
                  <c:v>7920256.3002811819</c:v>
                </c:pt>
                <c:pt idx="118">
                  <c:v>7996619.9762171926</c:v>
                </c:pt>
                <c:pt idx="119">
                  <c:v>8072983.6521532033</c:v>
                </c:pt>
                <c:pt idx="120">
                  <c:v>8149347.3280892139</c:v>
                </c:pt>
                <c:pt idx="121">
                  <c:v>8225711.0040252246</c:v>
                </c:pt>
                <c:pt idx="122">
                  <c:v>8302074.6799612353</c:v>
                </c:pt>
                <c:pt idx="123">
                  <c:v>8378438.3558972459</c:v>
                </c:pt>
                <c:pt idx="124">
                  <c:v>8454802.0318332575</c:v>
                </c:pt>
                <c:pt idx="125">
                  <c:v>8531165.7077692691</c:v>
                </c:pt>
                <c:pt idx="126">
                  <c:v>8607529.3837052807</c:v>
                </c:pt>
                <c:pt idx="127">
                  <c:v>8683893.0596412923</c:v>
                </c:pt>
                <c:pt idx="128">
                  <c:v>8760256.7355773039</c:v>
                </c:pt>
                <c:pt idx="129">
                  <c:v>8836620.4115133155</c:v>
                </c:pt>
                <c:pt idx="130">
                  <c:v>8912984.0874493271</c:v>
                </c:pt>
                <c:pt idx="131">
                  <c:v>8989347.7633853387</c:v>
                </c:pt>
                <c:pt idx="132">
                  <c:v>9065711.4393213503</c:v>
                </c:pt>
                <c:pt idx="133">
                  <c:v>9142075.1152573619</c:v>
                </c:pt>
                <c:pt idx="134">
                  <c:v>9218438.7911933735</c:v>
                </c:pt>
                <c:pt idx="135">
                  <c:v>9294802.4671293851</c:v>
                </c:pt>
                <c:pt idx="136">
                  <c:v>9371166.1430653967</c:v>
                </c:pt>
                <c:pt idx="137">
                  <c:v>9447529.8190014083</c:v>
                </c:pt>
                <c:pt idx="138">
                  <c:v>9523893.4949374199</c:v>
                </c:pt>
                <c:pt idx="139">
                  <c:v>9600257.1708734315</c:v>
                </c:pt>
                <c:pt idx="140">
                  <c:v>9676620.8468094431</c:v>
                </c:pt>
                <c:pt idx="141">
                  <c:v>9752984.5227454547</c:v>
                </c:pt>
                <c:pt idx="142">
                  <c:v>9829348.1986814663</c:v>
                </c:pt>
                <c:pt idx="143">
                  <c:v>9905711.8746174779</c:v>
                </c:pt>
                <c:pt idx="144">
                  <c:v>9982075.5505534895</c:v>
                </c:pt>
                <c:pt idx="145">
                  <c:v>10058439.226489501</c:v>
                </c:pt>
                <c:pt idx="146">
                  <c:v>10134802.902425513</c:v>
                </c:pt>
                <c:pt idx="147">
                  <c:v>10211166.578361524</c:v>
                </c:pt>
                <c:pt idx="148">
                  <c:v>10287530.254297536</c:v>
                </c:pt>
                <c:pt idx="149">
                  <c:v>10363893.930233547</c:v>
                </c:pt>
                <c:pt idx="150">
                  <c:v>10440257.606169559</c:v>
                </c:pt>
                <c:pt idx="151">
                  <c:v>10516621.282105571</c:v>
                </c:pt>
                <c:pt idx="152">
                  <c:v>10592984.958041582</c:v>
                </c:pt>
                <c:pt idx="153">
                  <c:v>10669348.633977594</c:v>
                </c:pt>
                <c:pt idx="154">
                  <c:v>10745712.309913605</c:v>
                </c:pt>
                <c:pt idx="155">
                  <c:v>10822075.985849617</c:v>
                </c:pt>
                <c:pt idx="156">
                  <c:v>10898439.661785629</c:v>
                </c:pt>
                <c:pt idx="157">
                  <c:v>10974803.33772164</c:v>
                </c:pt>
                <c:pt idx="158">
                  <c:v>11051167.013657652</c:v>
                </c:pt>
                <c:pt idx="159">
                  <c:v>11127530.689593663</c:v>
                </c:pt>
                <c:pt idx="160">
                  <c:v>11203894.365529675</c:v>
                </c:pt>
                <c:pt idx="161">
                  <c:v>11280258.041465687</c:v>
                </c:pt>
                <c:pt idx="162">
                  <c:v>11356621.717401698</c:v>
                </c:pt>
                <c:pt idx="163">
                  <c:v>11432985.39333771</c:v>
                </c:pt>
                <c:pt idx="164">
                  <c:v>11509349.069273721</c:v>
                </c:pt>
                <c:pt idx="165">
                  <c:v>11585712.745209733</c:v>
                </c:pt>
                <c:pt idx="166">
                  <c:v>11662076.421145745</c:v>
                </c:pt>
                <c:pt idx="167">
                  <c:v>11738440.097081756</c:v>
                </c:pt>
                <c:pt idx="168">
                  <c:v>11814803.773017768</c:v>
                </c:pt>
                <c:pt idx="169">
                  <c:v>11891167.448953779</c:v>
                </c:pt>
                <c:pt idx="170">
                  <c:v>11967531.124889791</c:v>
                </c:pt>
                <c:pt idx="171">
                  <c:v>12043894.800825803</c:v>
                </c:pt>
                <c:pt idx="172">
                  <c:v>12120258.476761814</c:v>
                </c:pt>
                <c:pt idx="173">
                  <c:v>12196622.152697826</c:v>
                </c:pt>
                <c:pt idx="174">
                  <c:v>12272985.828633837</c:v>
                </c:pt>
                <c:pt idx="175">
                  <c:v>12349349.504569849</c:v>
                </c:pt>
                <c:pt idx="176">
                  <c:v>12425713.180505861</c:v>
                </c:pt>
                <c:pt idx="177">
                  <c:v>12502076.856441872</c:v>
                </c:pt>
                <c:pt idx="178">
                  <c:v>12578440.532377884</c:v>
                </c:pt>
                <c:pt idx="179">
                  <c:v>12654804.208313895</c:v>
                </c:pt>
                <c:pt idx="180">
                  <c:v>12731167.884249907</c:v>
                </c:pt>
                <c:pt idx="181">
                  <c:v>12807531.560185919</c:v>
                </c:pt>
                <c:pt idx="182">
                  <c:v>12883895.23612193</c:v>
                </c:pt>
                <c:pt idx="183">
                  <c:v>12960258.912057942</c:v>
                </c:pt>
                <c:pt idx="184">
                  <c:v>13036622.587993953</c:v>
                </c:pt>
                <c:pt idx="185">
                  <c:v>13112986.263929965</c:v>
                </c:pt>
                <c:pt idx="186">
                  <c:v>13189349.939865977</c:v>
                </c:pt>
                <c:pt idx="187">
                  <c:v>13265713.615801988</c:v>
                </c:pt>
                <c:pt idx="188">
                  <c:v>13342077.291738</c:v>
                </c:pt>
                <c:pt idx="189">
                  <c:v>13418440.967674011</c:v>
                </c:pt>
                <c:pt idx="190">
                  <c:v>13494804.643610023</c:v>
                </c:pt>
                <c:pt idx="191">
                  <c:v>13571168.319546035</c:v>
                </c:pt>
                <c:pt idx="192">
                  <c:v>13647531.995482046</c:v>
                </c:pt>
                <c:pt idx="193">
                  <c:v>13723895.671418058</c:v>
                </c:pt>
                <c:pt idx="194">
                  <c:v>13800259.347354069</c:v>
                </c:pt>
                <c:pt idx="195">
                  <c:v>13876623.023290081</c:v>
                </c:pt>
                <c:pt idx="196">
                  <c:v>13952986.699226093</c:v>
                </c:pt>
                <c:pt idx="197">
                  <c:v>14029350.375162104</c:v>
                </c:pt>
                <c:pt idx="198">
                  <c:v>14105714.051098116</c:v>
                </c:pt>
                <c:pt idx="199">
                  <c:v>14182077.727034127</c:v>
                </c:pt>
                <c:pt idx="200">
                  <c:v>14258441.402970139</c:v>
                </c:pt>
                <c:pt idx="201">
                  <c:v>14334805.078906151</c:v>
                </c:pt>
                <c:pt idx="202">
                  <c:v>14411168.754842162</c:v>
                </c:pt>
                <c:pt idx="203">
                  <c:v>14487532.430778174</c:v>
                </c:pt>
                <c:pt idx="204">
                  <c:v>14563896.106714185</c:v>
                </c:pt>
                <c:pt idx="205">
                  <c:v>14640259.782650197</c:v>
                </c:pt>
                <c:pt idx="206">
                  <c:v>14716623.458586209</c:v>
                </c:pt>
                <c:pt idx="207">
                  <c:v>14792987.13452222</c:v>
                </c:pt>
                <c:pt idx="208">
                  <c:v>14869350.810458232</c:v>
                </c:pt>
                <c:pt idx="209">
                  <c:v>14945714.486394243</c:v>
                </c:pt>
                <c:pt idx="210">
                  <c:v>15022078.162330255</c:v>
                </c:pt>
                <c:pt idx="211">
                  <c:v>15098441.838266267</c:v>
                </c:pt>
                <c:pt idx="212">
                  <c:v>15174805.514202278</c:v>
                </c:pt>
                <c:pt idx="213">
                  <c:v>15251169.19013829</c:v>
                </c:pt>
                <c:pt idx="214">
                  <c:v>15327532.866074301</c:v>
                </c:pt>
                <c:pt idx="215">
                  <c:v>15403896.542010313</c:v>
                </c:pt>
                <c:pt idx="216">
                  <c:v>15480260.217946324</c:v>
                </c:pt>
                <c:pt idx="217">
                  <c:v>15556623.893882336</c:v>
                </c:pt>
                <c:pt idx="218">
                  <c:v>15632987.569818348</c:v>
                </c:pt>
                <c:pt idx="219">
                  <c:v>15709351.245754359</c:v>
                </c:pt>
                <c:pt idx="220">
                  <c:v>15785714.921690371</c:v>
                </c:pt>
                <c:pt idx="221">
                  <c:v>15862078.597626382</c:v>
                </c:pt>
                <c:pt idx="222">
                  <c:v>15938442.273562394</c:v>
                </c:pt>
                <c:pt idx="223">
                  <c:v>16014805.949498406</c:v>
                </c:pt>
                <c:pt idx="224">
                  <c:v>16091169.625434417</c:v>
                </c:pt>
                <c:pt idx="225">
                  <c:v>16167533.301370429</c:v>
                </c:pt>
                <c:pt idx="226">
                  <c:v>16243896.97730644</c:v>
                </c:pt>
                <c:pt idx="227">
                  <c:v>16320260.653242452</c:v>
                </c:pt>
                <c:pt idx="228">
                  <c:v>16396624.329178464</c:v>
                </c:pt>
                <c:pt idx="229">
                  <c:v>16472988.005114475</c:v>
                </c:pt>
                <c:pt idx="230">
                  <c:v>16549351.681050487</c:v>
                </c:pt>
                <c:pt idx="231">
                  <c:v>16625715.356986498</c:v>
                </c:pt>
                <c:pt idx="232">
                  <c:v>16702079.03292251</c:v>
                </c:pt>
                <c:pt idx="233">
                  <c:v>16778442.70885852</c:v>
                </c:pt>
                <c:pt idx="234">
                  <c:v>16854806.38479453</c:v>
                </c:pt>
                <c:pt idx="235">
                  <c:v>16931170.060730539</c:v>
                </c:pt>
                <c:pt idx="236">
                  <c:v>17007533.736666549</c:v>
                </c:pt>
                <c:pt idx="237">
                  <c:v>17083897.412602559</c:v>
                </c:pt>
                <c:pt idx="238">
                  <c:v>17160261.088538568</c:v>
                </c:pt>
                <c:pt idx="239">
                  <c:v>17236624.764474578</c:v>
                </c:pt>
                <c:pt idx="240">
                  <c:v>17312988.440410588</c:v>
                </c:pt>
              </c:numCache>
            </c:numRef>
          </c:val>
          <c:extLst>
            <c:ext xmlns:c16="http://schemas.microsoft.com/office/drawing/2014/chart" uri="{C3380CC4-5D6E-409C-BE32-E72D297353CC}">
              <c16:uniqueId val="{00000001-A871-4926-8D88-14F300E2E842}"/>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r>
              <a:rPr lang="en-GB" sz="1400" b="0">
                <a:solidFill>
                  <a:sysClr val="windowText" lastClr="000000"/>
                </a:solidFill>
                <a:latin typeface="Arial Rounded MT Bold" panose="020F0704030504030204" pitchFamily="34" charset="0"/>
              </a:rPr>
              <a:t>Análisis de Flujos de Pensión           Recibidos - MOD</a:t>
            </a:r>
            <a:r>
              <a:rPr lang="en-GB" sz="1400" b="0" baseline="0">
                <a:solidFill>
                  <a:sysClr val="windowText" lastClr="000000"/>
                </a:solidFill>
                <a:latin typeface="Arial Rounded MT Bold" panose="020F0704030504030204" pitchFamily="34" charset="0"/>
              </a:rPr>
              <a:t> 40 RECURRENTE</a:t>
            </a:r>
            <a:endParaRPr lang="en-GB" sz="1400" b="0">
              <a:solidFill>
                <a:sysClr val="windowText" lastClr="000000"/>
              </a:solidFill>
              <a:latin typeface="Arial Rounded MT Bold" panose="020F07040305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EAEE-40C7-9B18-ED268D5E6E0D}"/>
            </c:ext>
          </c:extLst>
        </c:ser>
        <c:ser>
          <c:idx val="1"/>
          <c:order val="1"/>
          <c:tx>
            <c:strRef>
              <c:f>Sheet1!$V$1</c:f>
              <c:strCache>
                <c:ptCount val="1"/>
                <c:pt idx="0">
                  <c:v>Con Modalidad 40 Retroactivo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Sheet1!$Y$7:$Y$247</c:f>
              <c:numCache>
                <c:formatCode>"$"#,##0</c:formatCode>
                <c:ptCount val="241"/>
                <c:pt idx="0">
                  <c:v>0</c:v>
                </c:pt>
                <c:pt idx="1">
                  <c:v>0</c:v>
                </c:pt>
                <c:pt idx="2">
                  <c:v>0</c:v>
                </c:pt>
                <c:pt idx="3">
                  <c:v>0</c:v>
                </c:pt>
                <c:pt idx="4">
                  <c:v>0</c:v>
                </c:pt>
                <c:pt idx="5">
                  <c:v>0</c:v>
                </c:pt>
                <c:pt idx="6">
                  <c:v>0</c:v>
                </c:pt>
                <c:pt idx="7">
                  <c:v>0</c:v>
                </c:pt>
                <c:pt idx="8">
                  <c:v>0</c:v>
                </c:pt>
                <c:pt idx="9">
                  <c:v>0</c:v>
                </c:pt>
                <c:pt idx="10">
                  <c:v>0</c:v>
                </c:pt>
                <c:pt idx="11">
                  <c:v>-201302.24587133416</c:v>
                </c:pt>
                <c:pt idx="12">
                  <c:v>-124938.56993532322</c:v>
                </c:pt>
                <c:pt idx="13">
                  <c:v>-48574.893999312277</c:v>
                </c:pt>
                <c:pt idx="14">
                  <c:v>27788.781936698666</c:v>
                </c:pt>
                <c:pt idx="15">
                  <c:v>104152.45787270961</c:v>
                </c:pt>
                <c:pt idx="16">
                  <c:v>180516.13380872057</c:v>
                </c:pt>
                <c:pt idx="17">
                  <c:v>256879.80974473152</c:v>
                </c:pt>
                <c:pt idx="18">
                  <c:v>333243.48568074248</c:v>
                </c:pt>
                <c:pt idx="19">
                  <c:v>409607.16161675344</c:v>
                </c:pt>
                <c:pt idx="20">
                  <c:v>485970.83755276439</c:v>
                </c:pt>
                <c:pt idx="21">
                  <c:v>562334.51348877535</c:v>
                </c:pt>
                <c:pt idx="22">
                  <c:v>638698.18942478625</c:v>
                </c:pt>
                <c:pt idx="23">
                  <c:v>715061.86536079715</c:v>
                </c:pt>
                <c:pt idx="24">
                  <c:v>791425.54129680805</c:v>
                </c:pt>
                <c:pt idx="25">
                  <c:v>867789.21723281895</c:v>
                </c:pt>
                <c:pt idx="26">
                  <c:v>944152.89316882985</c:v>
                </c:pt>
                <c:pt idx="27">
                  <c:v>1020516.5691048407</c:v>
                </c:pt>
                <c:pt idx="28">
                  <c:v>1096880.2450408516</c:v>
                </c:pt>
                <c:pt idx="29">
                  <c:v>1173243.9209768625</c:v>
                </c:pt>
                <c:pt idx="30">
                  <c:v>1249607.5969128734</c:v>
                </c:pt>
                <c:pt idx="31">
                  <c:v>1325971.2728488843</c:v>
                </c:pt>
                <c:pt idx="32">
                  <c:v>1402334.9487848952</c:v>
                </c:pt>
                <c:pt idx="33">
                  <c:v>1478698.6247209061</c:v>
                </c:pt>
                <c:pt idx="34">
                  <c:v>1555062.300656917</c:v>
                </c:pt>
                <c:pt idx="35">
                  <c:v>1631425.9765929279</c:v>
                </c:pt>
                <c:pt idx="36">
                  <c:v>1707789.6525289388</c:v>
                </c:pt>
                <c:pt idx="37">
                  <c:v>1784153.3284649497</c:v>
                </c:pt>
                <c:pt idx="38">
                  <c:v>1860517.0044009606</c:v>
                </c:pt>
                <c:pt idx="39">
                  <c:v>1936880.6803369715</c:v>
                </c:pt>
                <c:pt idx="40">
                  <c:v>2013244.3562729824</c:v>
                </c:pt>
                <c:pt idx="41">
                  <c:v>2089608.0322089933</c:v>
                </c:pt>
                <c:pt idx="42">
                  <c:v>2165971.7081450042</c:v>
                </c:pt>
                <c:pt idx="43">
                  <c:v>2242335.3840810154</c:v>
                </c:pt>
                <c:pt idx="44">
                  <c:v>2318699.0600170265</c:v>
                </c:pt>
                <c:pt idx="45">
                  <c:v>2395062.7359530376</c:v>
                </c:pt>
                <c:pt idx="46">
                  <c:v>2471426.4118890488</c:v>
                </c:pt>
                <c:pt idx="47">
                  <c:v>2547790.0878250599</c:v>
                </c:pt>
                <c:pt idx="48">
                  <c:v>2624153.763761071</c:v>
                </c:pt>
                <c:pt idx="49">
                  <c:v>2700517.4396970822</c:v>
                </c:pt>
                <c:pt idx="50">
                  <c:v>2776881.1156330933</c:v>
                </c:pt>
                <c:pt idx="51">
                  <c:v>2853244.7915691044</c:v>
                </c:pt>
                <c:pt idx="52">
                  <c:v>2929608.4675051156</c:v>
                </c:pt>
                <c:pt idx="53">
                  <c:v>3005972.1434411267</c:v>
                </c:pt>
                <c:pt idx="54">
                  <c:v>3082335.8193771378</c:v>
                </c:pt>
                <c:pt idx="55">
                  <c:v>3158699.4953131489</c:v>
                </c:pt>
                <c:pt idx="56">
                  <c:v>3235063.1712491601</c:v>
                </c:pt>
                <c:pt idx="57">
                  <c:v>3311426.8471851712</c:v>
                </c:pt>
                <c:pt idx="58">
                  <c:v>3387790.5231211823</c:v>
                </c:pt>
                <c:pt idx="59">
                  <c:v>3464154.1990571935</c:v>
                </c:pt>
                <c:pt idx="60">
                  <c:v>3540517.8749932046</c:v>
                </c:pt>
                <c:pt idx="61">
                  <c:v>3616881.5509292157</c:v>
                </c:pt>
                <c:pt idx="62">
                  <c:v>3693245.2268652269</c:v>
                </c:pt>
                <c:pt idx="63">
                  <c:v>3769608.902801238</c:v>
                </c:pt>
                <c:pt idx="64">
                  <c:v>3845972.5787372491</c:v>
                </c:pt>
                <c:pt idx="65">
                  <c:v>3922336.2546732603</c:v>
                </c:pt>
                <c:pt idx="66">
                  <c:v>3998699.9306092714</c:v>
                </c:pt>
                <c:pt idx="67">
                  <c:v>4075063.6065452825</c:v>
                </c:pt>
                <c:pt idx="68">
                  <c:v>4151427.2824812937</c:v>
                </c:pt>
                <c:pt idx="69">
                  <c:v>4227790.9584173048</c:v>
                </c:pt>
                <c:pt idx="70">
                  <c:v>4304154.6343533155</c:v>
                </c:pt>
                <c:pt idx="71">
                  <c:v>4380518.3102893261</c:v>
                </c:pt>
                <c:pt idx="72">
                  <c:v>4456881.9862253368</c:v>
                </c:pt>
                <c:pt idx="73">
                  <c:v>4533245.6621613475</c:v>
                </c:pt>
                <c:pt idx="74">
                  <c:v>4609609.3380973581</c:v>
                </c:pt>
                <c:pt idx="75">
                  <c:v>4685973.0140333688</c:v>
                </c:pt>
                <c:pt idx="76">
                  <c:v>4762336.6899693795</c:v>
                </c:pt>
                <c:pt idx="77">
                  <c:v>4838700.3659053901</c:v>
                </c:pt>
                <c:pt idx="78">
                  <c:v>4915064.0418414008</c:v>
                </c:pt>
                <c:pt idx="79">
                  <c:v>4991427.7177774115</c:v>
                </c:pt>
                <c:pt idx="80">
                  <c:v>5067791.3937134221</c:v>
                </c:pt>
                <c:pt idx="81">
                  <c:v>5144155.0696494328</c:v>
                </c:pt>
                <c:pt idx="82">
                  <c:v>5220518.7455854435</c:v>
                </c:pt>
                <c:pt idx="83">
                  <c:v>5296882.4215214541</c:v>
                </c:pt>
                <c:pt idx="84">
                  <c:v>5373246.0974574648</c:v>
                </c:pt>
                <c:pt idx="85">
                  <c:v>5449609.7733934755</c:v>
                </c:pt>
                <c:pt idx="86">
                  <c:v>5525973.4493294861</c:v>
                </c:pt>
                <c:pt idx="87">
                  <c:v>5602337.1252654968</c:v>
                </c:pt>
                <c:pt idx="88">
                  <c:v>5678700.8012015074</c:v>
                </c:pt>
                <c:pt idx="89">
                  <c:v>5755064.4771375181</c:v>
                </c:pt>
                <c:pt idx="90">
                  <c:v>5831428.1530735288</c:v>
                </c:pt>
                <c:pt idx="91">
                  <c:v>5907791.8290095394</c:v>
                </c:pt>
                <c:pt idx="92">
                  <c:v>5984155.5049455501</c:v>
                </c:pt>
                <c:pt idx="93">
                  <c:v>6060519.1808815608</c:v>
                </c:pt>
                <c:pt idx="94">
                  <c:v>6136882.8568175714</c:v>
                </c:pt>
                <c:pt idx="95">
                  <c:v>6213246.5327535821</c:v>
                </c:pt>
                <c:pt idx="96">
                  <c:v>6289610.2086895928</c:v>
                </c:pt>
                <c:pt idx="97">
                  <c:v>6365973.8846256034</c:v>
                </c:pt>
                <c:pt idx="98">
                  <c:v>6442337.5605616141</c:v>
                </c:pt>
                <c:pt idx="99">
                  <c:v>6518701.2364976248</c:v>
                </c:pt>
                <c:pt idx="100">
                  <c:v>6595064.9124336354</c:v>
                </c:pt>
                <c:pt idx="101">
                  <c:v>6671428.5883696461</c:v>
                </c:pt>
                <c:pt idx="102">
                  <c:v>6747792.2643056568</c:v>
                </c:pt>
                <c:pt idx="103">
                  <c:v>6824155.9402416674</c:v>
                </c:pt>
                <c:pt idx="104">
                  <c:v>6900519.6161776781</c:v>
                </c:pt>
                <c:pt idx="105">
                  <c:v>6976883.2921136888</c:v>
                </c:pt>
                <c:pt idx="106">
                  <c:v>7053246.9680496994</c:v>
                </c:pt>
                <c:pt idx="107">
                  <c:v>7129610.6439857101</c:v>
                </c:pt>
                <c:pt idx="108">
                  <c:v>7205974.3199217208</c:v>
                </c:pt>
                <c:pt idx="109">
                  <c:v>7282337.9958577314</c:v>
                </c:pt>
                <c:pt idx="110">
                  <c:v>7358701.6717937421</c:v>
                </c:pt>
                <c:pt idx="111">
                  <c:v>7435065.3477297528</c:v>
                </c:pt>
                <c:pt idx="112">
                  <c:v>7511429.0236657634</c:v>
                </c:pt>
                <c:pt idx="113">
                  <c:v>7587792.6996017741</c:v>
                </c:pt>
                <c:pt idx="114">
                  <c:v>7664156.3755377848</c:v>
                </c:pt>
                <c:pt idx="115">
                  <c:v>7740520.0514737954</c:v>
                </c:pt>
                <c:pt idx="116">
                  <c:v>7816883.7274098061</c:v>
                </c:pt>
                <c:pt idx="117">
                  <c:v>7893247.4033458168</c:v>
                </c:pt>
                <c:pt idx="118">
                  <c:v>7969611.0792818274</c:v>
                </c:pt>
                <c:pt idx="119">
                  <c:v>8045974.7552178381</c:v>
                </c:pt>
                <c:pt idx="120">
                  <c:v>8122338.4311538488</c:v>
                </c:pt>
                <c:pt idx="121">
                  <c:v>8198702.1070898594</c:v>
                </c:pt>
                <c:pt idx="122">
                  <c:v>8275065.7830258701</c:v>
                </c:pt>
                <c:pt idx="123">
                  <c:v>8351429.4589618808</c:v>
                </c:pt>
                <c:pt idx="124">
                  <c:v>8427793.1348978914</c:v>
                </c:pt>
                <c:pt idx="125">
                  <c:v>8504156.810833903</c:v>
                </c:pt>
                <c:pt idx="126">
                  <c:v>8580520.4867699146</c:v>
                </c:pt>
                <c:pt idx="127">
                  <c:v>8656884.1627059262</c:v>
                </c:pt>
                <c:pt idx="128">
                  <c:v>8733247.8386419378</c:v>
                </c:pt>
                <c:pt idx="129">
                  <c:v>8809611.5145779494</c:v>
                </c:pt>
                <c:pt idx="130">
                  <c:v>8885975.190513961</c:v>
                </c:pt>
                <c:pt idx="131">
                  <c:v>8962338.8664499726</c:v>
                </c:pt>
                <c:pt idx="132">
                  <c:v>9038702.5423859842</c:v>
                </c:pt>
                <c:pt idx="133">
                  <c:v>9115066.2183219958</c:v>
                </c:pt>
                <c:pt idx="134">
                  <c:v>9191429.8942580074</c:v>
                </c:pt>
                <c:pt idx="135">
                  <c:v>9267793.570194019</c:v>
                </c:pt>
                <c:pt idx="136">
                  <c:v>9344157.2461300306</c:v>
                </c:pt>
                <c:pt idx="137">
                  <c:v>9420520.9220660422</c:v>
                </c:pt>
                <c:pt idx="138">
                  <c:v>9496884.5980020538</c:v>
                </c:pt>
                <c:pt idx="139">
                  <c:v>9573248.2739380654</c:v>
                </c:pt>
                <c:pt idx="140">
                  <c:v>9649611.949874077</c:v>
                </c:pt>
                <c:pt idx="141">
                  <c:v>9725975.6258100886</c:v>
                </c:pt>
                <c:pt idx="142">
                  <c:v>9802339.3017461002</c:v>
                </c:pt>
                <c:pt idx="143">
                  <c:v>9878702.9776821118</c:v>
                </c:pt>
                <c:pt idx="144">
                  <c:v>9955066.6536181234</c:v>
                </c:pt>
                <c:pt idx="145">
                  <c:v>10031430.329554135</c:v>
                </c:pt>
                <c:pt idx="146">
                  <c:v>10107794.005490147</c:v>
                </c:pt>
                <c:pt idx="147">
                  <c:v>10184157.681426158</c:v>
                </c:pt>
                <c:pt idx="148">
                  <c:v>10260521.35736217</c:v>
                </c:pt>
                <c:pt idx="149">
                  <c:v>10336885.033298181</c:v>
                </c:pt>
                <c:pt idx="150">
                  <c:v>10413248.709234193</c:v>
                </c:pt>
                <c:pt idx="151">
                  <c:v>10489612.385170205</c:v>
                </c:pt>
                <c:pt idx="152">
                  <c:v>10565976.061106216</c:v>
                </c:pt>
                <c:pt idx="153">
                  <c:v>10642339.737042228</c:v>
                </c:pt>
                <c:pt idx="154">
                  <c:v>10718703.412978239</c:v>
                </c:pt>
                <c:pt idx="155">
                  <c:v>10795067.088914251</c:v>
                </c:pt>
                <c:pt idx="156">
                  <c:v>10871430.764850263</c:v>
                </c:pt>
                <c:pt idx="157">
                  <c:v>10947794.440786274</c:v>
                </c:pt>
                <c:pt idx="158">
                  <c:v>11024158.116722286</c:v>
                </c:pt>
                <c:pt idx="159">
                  <c:v>11100521.792658297</c:v>
                </c:pt>
                <c:pt idx="160">
                  <c:v>11176885.468594309</c:v>
                </c:pt>
                <c:pt idx="161">
                  <c:v>11253249.144530321</c:v>
                </c:pt>
                <c:pt idx="162">
                  <c:v>11329612.820466332</c:v>
                </c:pt>
                <c:pt idx="163">
                  <c:v>11405976.496402344</c:v>
                </c:pt>
                <c:pt idx="164">
                  <c:v>11482340.172338355</c:v>
                </c:pt>
                <c:pt idx="165">
                  <c:v>11558703.848274367</c:v>
                </c:pt>
                <c:pt idx="166">
                  <c:v>11635067.524210379</c:v>
                </c:pt>
                <c:pt idx="167">
                  <c:v>11711431.20014639</c:v>
                </c:pt>
                <c:pt idx="168">
                  <c:v>11787794.876082402</c:v>
                </c:pt>
                <c:pt idx="169">
                  <c:v>11864158.552018413</c:v>
                </c:pt>
                <c:pt idx="170">
                  <c:v>11940522.227954425</c:v>
                </c:pt>
                <c:pt idx="171">
                  <c:v>12016885.903890437</c:v>
                </c:pt>
                <c:pt idx="172">
                  <c:v>12093249.579826448</c:v>
                </c:pt>
                <c:pt idx="173">
                  <c:v>12169613.25576246</c:v>
                </c:pt>
                <c:pt idx="174">
                  <c:v>12245976.931698471</c:v>
                </c:pt>
                <c:pt idx="175">
                  <c:v>12322340.607634483</c:v>
                </c:pt>
                <c:pt idx="176">
                  <c:v>12398704.283570495</c:v>
                </c:pt>
                <c:pt idx="177">
                  <c:v>12475067.959506506</c:v>
                </c:pt>
                <c:pt idx="178">
                  <c:v>12551431.635442518</c:v>
                </c:pt>
                <c:pt idx="179">
                  <c:v>12627795.311378529</c:v>
                </c:pt>
                <c:pt idx="180">
                  <c:v>12704158.987314541</c:v>
                </c:pt>
                <c:pt idx="181">
                  <c:v>12780522.663250552</c:v>
                </c:pt>
                <c:pt idx="182">
                  <c:v>12856886.339186564</c:v>
                </c:pt>
                <c:pt idx="183">
                  <c:v>12933250.015122576</c:v>
                </c:pt>
                <c:pt idx="184">
                  <c:v>13009613.691058587</c:v>
                </c:pt>
                <c:pt idx="185">
                  <c:v>13085977.366994599</c:v>
                </c:pt>
                <c:pt idx="186">
                  <c:v>13162341.04293061</c:v>
                </c:pt>
                <c:pt idx="187">
                  <c:v>13238704.718866622</c:v>
                </c:pt>
                <c:pt idx="188">
                  <c:v>13315068.394802634</c:v>
                </c:pt>
                <c:pt idx="189">
                  <c:v>13391432.070738645</c:v>
                </c:pt>
                <c:pt idx="190">
                  <c:v>13467795.746674657</c:v>
                </c:pt>
                <c:pt idx="191">
                  <c:v>13544159.422610668</c:v>
                </c:pt>
                <c:pt idx="192">
                  <c:v>13620523.09854668</c:v>
                </c:pt>
                <c:pt idx="193">
                  <c:v>13696886.774482692</c:v>
                </c:pt>
                <c:pt idx="194">
                  <c:v>13773250.450418703</c:v>
                </c:pt>
                <c:pt idx="195">
                  <c:v>13849614.126354715</c:v>
                </c:pt>
                <c:pt idx="196">
                  <c:v>13925977.802290726</c:v>
                </c:pt>
                <c:pt idx="197">
                  <c:v>14002341.478226738</c:v>
                </c:pt>
                <c:pt idx="198">
                  <c:v>14078705.15416275</c:v>
                </c:pt>
                <c:pt idx="199">
                  <c:v>14155068.830098761</c:v>
                </c:pt>
                <c:pt idx="200">
                  <c:v>14231432.506034773</c:v>
                </c:pt>
                <c:pt idx="201">
                  <c:v>14307796.181970784</c:v>
                </c:pt>
                <c:pt idx="202">
                  <c:v>14384159.857906796</c:v>
                </c:pt>
                <c:pt idx="203">
                  <c:v>14460523.533842808</c:v>
                </c:pt>
                <c:pt idx="204">
                  <c:v>14536887.209778819</c:v>
                </c:pt>
                <c:pt idx="205">
                  <c:v>14613250.885714831</c:v>
                </c:pt>
                <c:pt idx="206">
                  <c:v>14689614.561650842</c:v>
                </c:pt>
                <c:pt idx="207">
                  <c:v>14765978.237586854</c:v>
                </c:pt>
                <c:pt idx="208">
                  <c:v>14842341.913522866</c:v>
                </c:pt>
                <c:pt idx="209">
                  <c:v>14918705.589458877</c:v>
                </c:pt>
                <c:pt idx="210">
                  <c:v>14995069.265394889</c:v>
                </c:pt>
                <c:pt idx="211">
                  <c:v>15071432.9413309</c:v>
                </c:pt>
                <c:pt idx="212">
                  <c:v>15147796.617266912</c:v>
                </c:pt>
                <c:pt idx="213">
                  <c:v>15224160.293202924</c:v>
                </c:pt>
                <c:pt idx="214">
                  <c:v>15300523.969138935</c:v>
                </c:pt>
                <c:pt idx="215">
                  <c:v>15376887.645074947</c:v>
                </c:pt>
                <c:pt idx="216">
                  <c:v>15453251.321010958</c:v>
                </c:pt>
                <c:pt idx="217">
                  <c:v>15529614.99694697</c:v>
                </c:pt>
                <c:pt idx="218">
                  <c:v>15605978.672882982</c:v>
                </c:pt>
                <c:pt idx="219">
                  <c:v>15682342.348818993</c:v>
                </c:pt>
                <c:pt idx="220">
                  <c:v>15758706.024755005</c:v>
                </c:pt>
                <c:pt idx="221">
                  <c:v>15835069.700691016</c:v>
                </c:pt>
                <c:pt idx="222">
                  <c:v>15911433.376627028</c:v>
                </c:pt>
                <c:pt idx="223">
                  <c:v>15987797.05256304</c:v>
                </c:pt>
                <c:pt idx="224">
                  <c:v>16064160.728499051</c:v>
                </c:pt>
                <c:pt idx="225">
                  <c:v>16140524.404435063</c:v>
                </c:pt>
                <c:pt idx="226">
                  <c:v>16216888.080371074</c:v>
                </c:pt>
                <c:pt idx="227">
                  <c:v>16293251.756307086</c:v>
                </c:pt>
                <c:pt idx="228">
                  <c:v>16369615.432243098</c:v>
                </c:pt>
                <c:pt idx="229">
                  <c:v>16445979.108179109</c:v>
                </c:pt>
                <c:pt idx="230">
                  <c:v>16522342.784115121</c:v>
                </c:pt>
                <c:pt idx="231">
                  <c:v>16598706.460051132</c:v>
                </c:pt>
                <c:pt idx="232">
                  <c:v>16675070.135987144</c:v>
                </c:pt>
                <c:pt idx="233">
                  <c:v>16751433.811923156</c:v>
                </c:pt>
                <c:pt idx="234">
                  <c:v>16827797.487859167</c:v>
                </c:pt>
                <c:pt idx="235">
                  <c:v>16904161.163795177</c:v>
                </c:pt>
                <c:pt idx="236">
                  <c:v>16980524.839731187</c:v>
                </c:pt>
                <c:pt idx="237">
                  <c:v>17056888.515667196</c:v>
                </c:pt>
                <c:pt idx="238">
                  <c:v>17133252.191603206</c:v>
                </c:pt>
                <c:pt idx="239">
                  <c:v>17209615.867539216</c:v>
                </c:pt>
                <c:pt idx="240">
                  <c:v>17285979.543475226</c:v>
                </c:pt>
              </c:numCache>
            </c:numRef>
          </c:val>
          <c:extLst>
            <c:ext xmlns:c16="http://schemas.microsoft.com/office/drawing/2014/chart" uri="{C3380CC4-5D6E-409C-BE32-E72D297353CC}">
              <c16:uniqueId val="{00000001-EAEE-40C7-9B18-ED268D5E6E0D}"/>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150" baseline="0">
                <a:solidFill>
                  <a:sysClr val="windowText" lastClr="000000"/>
                </a:solidFill>
                <a:latin typeface="Arial Rounded MT Bold" panose="020F0704030504030204" pitchFamily="34" charset="0"/>
                <a:ea typeface="+mn-ea"/>
                <a:cs typeface="+mn-cs"/>
              </a:defRPr>
            </a:pPr>
            <a:r>
              <a:rPr lang="en-GB" sz="1400" b="1">
                <a:solidFill>
                  <a:sysClr val="windowText" lastClr="000000"/>
                </a:solidFill>
                <a:latin typeface="Arial Rounded MT Bold" panose="020F0704030504030204" pitchFamily="34" charset="0"/>
              </a:rPr>
              <a:t>Análisis de Flujos de Pensión</a:t>
            </a:r>
            <a:r>
              <a:rPr lang="en-GB" sz="1400" b="1" baseline="0">
                <a:solidFill>
                  <a:sysClr val="windowText" lastClr="000000"/>
                </a:solidFill>
                <a:latin typeface="Arial Rounded MT Bold" panose="020F0704030504030204" pitchFamily="34" charset="0"/>
              </a:rPr>
              <a:t> </a:t>
            </a:r>
            <a:r>
              <a:rPr lang="en-GB" sz="1400" b="1">
                <a:solidFill>
                  <a:sysClr val="windowText" lastClr="000000"/>
                </a:solidFill>
                <a:latin typeface="Arial Rounded MT Bold" panose="020F0704030504030204" pitchFamily="34" charset="0"/>
              </a:rPr>
              <a:t>Recibidos</a:t>
            </a:r>
          </a:p>
        </c:rich>
      </c:tx>
      <c:overlay val="0"/>
      <c:spPr>
        <a:noFill/>
        <a:ln>
          <a:noFill/>
        </a:ln>
        <a:effectLst/>
      </c:spPr>
      <c:txPr>
        <a:bodyPr rot="0" spcFirstLastPara="1" vertOverflow="ellipsis" vert="horz" wrap="square" anchor="ctr" anchorCtr="1"/>
        <a:lstStyle/>
        <a:p>
          <a:pPr>
            <a:defRPr sz="1400" b="1"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921C-4EFC-B505-F4F4F7D7F9AF}"/>
            </c:ext>
          </c:extLst>
        </c:ser>
        <c:ser>
          <c:idx val="1"/>
          <c:order val="1"/>
          <c:tx>
            <c:strRef>
              <c:f>Sheet1!$AG$1</c:f>
              <c:strCache>
                <c:ptCount val="1"/>
                <c:pt idx="0">
                  <c:v>Con Modalidad 40 Retroactivo Financiada</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Sheet1!$AN$7:$AN$247</c:f>
              <c:numCache>
                <c:formatCode>"$"#,##0</c:formatCode>
                <c:ptCount val="241"/>
                <c:pt idx="0">
                  <c:v>0</c:v>
                </c:pt>
                <c:pt idx="1">
                  <c:v>0</c:v>
                </c:pt>
                <c:pt idx="2">
                  <c:v>0</c:v>
                </c:pt>
                <c:pt idx="3">
                  <c:v>0</c:v>
                </c:pt>
                <c:pt idx="4">
                  <c:v>0</c:v>
                </c:pt>
                <c:pt idx="5">
                  <c:v>0</c:v>
                </c:pt>
                <c:pt idx="6">
                  <c:v>0</c:v>
                </c:pt>
                <c:pt idx="7">
                  <c:v>0</c:v>
                </c:pt>
                <c:pt idx="8">
                  <c:v>0</c:v>
                </c:pt>
                <c:pt idx="9">
                  <c:v>0</c:v>
                </c:pt>
                <c:pt idx="10">
                  <c:v>0</c:v>
                </c:pt>
                <c:pt idx="11">
                  <c:v>1E-3</c:v>
                </c:pt>
                <c:pt idx="12">
                  <c:v>63801.226248500454</c:v>
                </c:pt>
                <c:pt idx="13">
                  <c:v>127602.4514970009</c:v>
                </c:pt>
                <c:pt idx="14">
                  <c:v>191403.67674550135</c:v>
                </c:pt>
                <c:pt idx="15">
                  <c:v>255204.90199400182</c:v>
                </c:pt>
                <c:pt idx="16">
                  <c:v>319006.12724250229</c:v>
                </c:pt>
                <c:pt idx="17">
                  <c:v>382807.35249100276</c:v>
                </c:pt>
                <c:pt idx="18">
                  <c:v>446608.57773950323</c:v>
                </c:pt>
                <c:pt idx="19">
                  <c:v>510409.80298800371</c:v>
                </c:pt>
                <c:pt idx="20">
                  <c:v>574211.02823650418</c:v>
                </c:pt>
                <c:pt idx="21">
                  <c:v>638012.25348500465</c:v>
                </c:pt>
                <c:pt idx="22">
                  <c:v>701813.47873350512</c:v>
                </c:pt>
                <c:pt idx="23">
                  <c:v>765614.70398200559</c:v>
                </c:pt>
                <c:pt idx="24">
                  <c:v>829415.92923050607</c:v>
                </c:pt>
                <c:pt idx="25">
                  <c:v>893217.15447900654</c:v>
                </c:pt>
                <c:pt idx="26">
                  <c:v>957018.37972750701</c:v>
                </c:pt>
                <c:pt idx="27">
                  <c:v>1020819.6049760075</c:v>
                </c:pt>
                <c:pt idx="28">
                  <c:v>1084620.830224508</c:v>
                </c:pt>
                <c:pt idx="29">
                  <c:v>1148422.0554730084</c:v>
                </c:pt>
                <c:pt idx="30">
                  <c:v>1212223.2807215089</c:v>
                </c:pt>
                <c:pt idx="31">
                  <c:v>1276024.5059700094</c:v>
                </c:pt>
                <c:pt idx="32">
                  <c:v>1339825.7312185098</c:v>
                </c:pt>
                <c:pt idx="33">
                  <c:v>1403626.9564670103</c:v>
                </c:pt>
                <c:pt idx="34">
                  <c:v>1467428.1817155108</c:v>
                </c:pt>
                <c:pt idx="35">
                  <c:v>1531229.4069640113</c:v>
                </c:pt>
                <c:pt idx="36">
                  <c:v>1595030.6322125117</c:v>
                </c:pt>
                <c:pt idx="37">
                  <c:v>1658831.8574610122</c:v>
                </c:pt>
                <c:pt idx="38">
                  <c:v>1722633.0827095127</c:v>
                </c:pt>
                <c:pt idx="39">
                  <c:v>1786434.3079580131</c:v>
                </c:pt>
                <c:pt idx="40">
                  <c:v>1850235.5332065136</c:v>
                </c:pt>
                <c:pt idx="41">
                  <c:v>1914036.7584550141</c:v>
                </c:pt>
                <c:pt idx="42">
                  <c:v>1977837.9837035146</c:v>
                </c:pt>
                <c:pt idx="43">
                  <c:v>2041639.208952015</c:v>
                </c:pt>
                <c:pt idx="44">
                  <c:v>2105440.4342005155</c:v>
                </c:pt>
                <c:pt idx="45">
                  <c:v>2169241.6594490157</c:v>
                </c:pt>
                <c:pt idx="46">
                  <c:v>2233042.884697516</c:v>
                </c:pt>
                <c:pt idx="47">
                  <c:v>2296844.1099460162</c:v>
                </c:pt>
                <c:pt idx="48">
                  <c:v>2360645.3351945165</c:v>
                </c:pt>
                <c:pt idx="49">
                  <c:v>2424446.5604430167</c:v>
                </c:pt>
                <c:pt idx="50">
                  <c:v>2488247.7856915169</c:v>
                </c:pt>
                <c:pt idx="51">
                  <c:v>2552049.0109400172</c:v>
                </c:pt>
                <c:pt idx="52">
                  <c:v>2615850.2361885174</c:v>
                </c:pt>
                <c:pt idx="53">
                  <c:v>2679651.4614370177</c:v>
                </c:pt>
                <c:pt idx="54">
                  <c:v>2743452.6866855179</c:v>
                </c:pt>
                <c:pt idx="55">
                  <c:v>2807253.9119340181</c:v>
                </c:pt>
                <c:pt idx="56">
                  <c:v>2871055.1371825184</c:v>
                </c:pt>
                <c:pt idx="57">
                  <c:v>2934856.3624310186</c:v>
                </c:pt>
                <c:pt idx="58">
                  <c:v>2998657.5876795189</c:v>
                </c:pt>
                <c:pt idx="59">
                  <c:v>3062458.8129280191</c:v>
                </c:pt>
                <c:pt idx="60">
                  <c:v>3126260.0381765193</c:v>
                </c:pt>
                <c:pt idx="61">
                  <c:v>3190061.2634250196</c:v>
                </c:pt>
                <c:pt idx="62">
                  <c:v>3253862.4886735198</c:v>
                </c:pt>
                <c:pt idx="63">
                  <c:v>3317663.71392202</c:v>
                </c:pt>
                <c:pt idx="64">
                  <c:v>3381464.9391705203</c:v>
                </c:pt>
                <c:pt idx="65">
                  <c:v>3445266.1644190205</c:v>
                </c:pt>
                <c:pt idx="66">
                  <c:v>3509067.3896675208</c:v>
                </c:pt>
                <c:pt idx="67">
                  <c:v>3585431.0656035319</c:v>
                </c:pt>
                <c:pt idx="68">
                  <c:v>3661794.741539543</c:v>
                </c:pt>
                <c:pt idx="69">
                  <c:v>3738158.4174755542</c:v>
                </c:pt>
                <c:pt idx="70">
                  <c:v>3814522.0934115653</c:v>
                </c:pt>
                <c:pt idx="71">
                  <c:v>3890885.7693475764</c:v>
                </c:pt>
                <c:pt idx="72">
                  <c:v>3967249.4452835876</c:v>
                </c:pt>
                <c:pt idx="73">
                  <c:v>4043613.1212195987</c:v>
                </c:pt>
                <c:pt idx="74">
                  <c:v>4119976.7971556098</c:v>
                </c:pt>
                <c:pt idx="75">
                  <c:v>4196340.473091621</c:v>
                </c:pt>
                <c:pt idx="76">
                  <c:v>4272704.1490276316</c:v>
                </c:pt>
                <c:pt idx="77">
                  <c:v>4349067.8249636423</c:v>
                </c:pt>
                <c:pt idx="78">
                  <c:v>4425431.500899653</c:v>
                </c:pt>
                <c:pt idx="79">
                  <c:v>4501795.1768356636</c:v>
                </c:pt>
                <c:pt idx="80">
                  <c:v>4578158.8527716743</c:v>
                </c:pt>
                <c:pt idx="81">
                  <c:v>4654522.5287076849</c:v>
                </c:pt>
                <c:pt idx="82">
                  <c:v>4730886.2046436956</c:v>
                </c:pt>
                <c:pt idx="83">
                  <c:v>4807249.8805797063</c:v>
                </c:pt>
                <c:pt idx="84">
                  <c:v>4883613.5565157169</c:v>
                </c:pt>
                <c:pt idx="85">
                  <c:v>4959977.2324517276</c:v>
                </c:pt>
                <c:pt idx="86">
                  <c:v>5036340.9083877383</c:v>
                </c:pt>
                <c:pt idx="87">
                  <c:v>5112704.5843237489</c:v>
                </c:pt>
                <c:pt idx="88">
                  <c:v>5189068.2602597596</c:v>
                </c:pt>
                <c:pt idx="89">
                  <c:v>5265431.9361957703</c:v>
                </c:pt>
                <c:pt idx="90">
                  <c:v>5341795.6121317809</c:v>
                </c:pt>
                <c:pt idx="91">
                  <c:v>5418159.2880677916</c:v>
                </c:pt>
                <c:pt idx="92">
                  <c:v>5494522.9640038023</c:v>
                </c:pt>
                <c:pt idx="93">
                  <c:v>5570886.6399398129</c:v>
                </c:pt>
                <c:pt idx="94">
                  <c:v>5647250.3158758236</c:v>
                </c:pt>
                <c:pt idx="95">
                  <c:v>5723613.9918118343</c:v>
                </c:pt>
                <c:pt idx="96">
                  <c:v>5799977.6677478449</c:v>
                </c:pt>
                <c:pt idx="97">
                  <c:v>5876341.3436838556</c:v>
                </c:pt>
                <c:pt idx="98">
                  <c:v>5952705.0196198663</c:v>
                </c:pt>
                <c:pt idx="99">
                  <c:v>6029068.6955558769</c:v>
                </c:pt>
                <c:pt idx="100">
                  <c:v>6105432.3714918876</c:v>
                </c:pt>
                <c:pt idx="101">
                  <c:v>6181796.0474278983</c:v>
                </c:pt>
                <c:pt idx="102">
                  <c:v>6258159.7233639089</c:v>
                </c:pt>
                <c:pt idx="103">
                  <c:v>6334523.3992999196</c:v>
                </c:pt>
                <c:pt idx="104">
                  <c:v>6410887.0752359303</c:v>
                </c:pt>
                <c:pt idx="105">
                  <c:v>6487250.7511719409</c:v>
                </c:pt>
                <c:pt idx="106">
                  <c:v>6563614.4271079516</c:v>
                </c:pt>
                <c:pt idx="107">
                  <c:v>6639978.1030439623</c:v>
                </c:pt>
                <c:pt idx="108">
                  <c:v>6716341.7789799729</c:v>
                </c:pt>
                <c:pt idx="109">
                  <c:v>6792705.4549159836</c:v>
                </c:pt>
                <c:pt idx="110">
                  <c:v>6869069.1308519943</c:v>
                </c:pt>
                <c:pt idx="111">
                  <c:v>6945432.8067880049</c:v>
                </c:pt>
                <c:pt idx="112">
                  <c:v>7021796.4827240156</c:v>
                </c:pt>
                <c:pt idx="113">
                  <c:v>7098160.1586600263</c:v>
                </c:pt>
                <c:pt idx="114">
                  <c:v>7174523.8345960369</c:v>
                </c:pt>
                <c:pt idx="115">
                  <c:v>7250887.5105320476</c:v>
                </c:pt>
                <c:pt idx="116">
                  <c:v>7327251.1864680583</c:v>
                </c:pt>
                <c:pt idx="117">
                  <c:v>7403614.8624040689</c:v>
                </c:pt>
                <c:pt idx="118">
                  <c:v>7479978.5383400796</c:v>
                </c:pt>
                <c:pt idx="119">
                  <c:v>7556342.2142760903</c:v>
                </c:pt>
                <c:pt idx="120">
                  <c:v>7632705.8902121009</c:v>
                </c:pt>
                <c:pt idx="121">
                  <c:v>7709069.5661481116</c:v>
                </c:pt>
                <c:pt idx="122">
                  <c:v>7785433.2420841223</c:v>
                </c:pt>
                <c:pt idx="123">
                  <c:v>7861796.9180201329</c:v>
                </c:pt>
                <c:pt idx="124">
                  <c:v>7938160.5939561436</c:v>
                </c:pt>
                <c:pt idx="125">
                  <c:v>8014524.2698921543</c:v>
                </c:pt>
                <c:pt idx="126">
                  <c:v>8090887.9458281649</c:v>
                </c:pt>
                <c:pt idx="127">
                  <c:v>8167251.6217641756</c:v>
                </c:pt>
                <c:pt idx="128">
                  <c:v>8243615.2977001863</c:v>
                </c:pt>
                <c:pt idx="129">
                  <c:v>8319978.9736361969</c:v>
                </c:pt>
                <c:pt idx="130">
                  <c:v>8396342.6495722085</c:v>
                </c:pt>
                <c:pt idx="131">
                  <c:v>8472706.3255082201</c:v>
                </c:pt>
                <c:pt idx="132">
                  <c:v>8549070.0014442317</c:v>
                </c:pt>
                <c:pt idx="133">
                  <c:v>8625433.6773802433</c:v>
                </c:pt>
                <c:pt idx="134">
                  <c:v>8701797.3533162549</c:v>
                </c:pt>
                <c:pt idx="135">
                  <c:v>8778161.0292522665</c:v>
                </c:pt>
                <c:pt idx="136">
                  <c:v>8854524.7051882781</c:v>
                </c:pt>
                <c:pt idx="137">
                  <c:v>8930888.3811242897</c:v>
                </c:pt>
                <c:pt idx="138">
                  <c:v>9007252.0570603013</c:v>
                </c:pt>
                <c:pt idx="139">
                  <c:v>9083615.7329963129</c:v>
                </c:pt>
                <c:pt idx="140">
                  <c:v>9159979.4089323245</c:v>
                </c:pt>
                <c:pt idx="141">
                  <c:v>9236343.0848683361</c:v>
                </c:pt>
                <c:pt idx="142">
                  <c:v>9312706.7608043477</c:v>
                </c:pt>
                <c:pt idx="143">
                  <c:v>9389070.4367403593</c:v>
                </c:pt>
                <c:pt idx="144">
                  <c:v>9465434.1126763709</c:v>
                </c:pt>
                <c:pt idx="145">
                  <c:v>9541797.7886123825</c:v>
                </c:pt>
                <c:pt idx="146">
                  <c:v>9618161.4645483941</c:v>
                </c:pt>
                <c:pt idx="147">
                  <c:v>9694525.1404844057</c:v>
                </c:pt>
                <c:pt idx="148">
                  <c:v>9770888.8164204173</c:v>
                </c:pt>
                <c:pt idx="149">
                  <c:v>9847252.4923564289</c:v>
                </c:pt>
                <c:pt idx="150">
                  <c:v>9923616.1682924405</c:v>
                </c:pt>
                <c:pt idx="151">
                  <c:v>9999979.8442284521</c:v>
                </c:pt>
                <c:pt idx="152">
                  <c:v>10076343.520164464</c:v>
                </c:pt>
                <c:pt idx="153">
                  <c:v>10152707.196100475</c:v>
                </c:pt>
                <c:pt idx="154">
                  <c:v>10229070.872036487</c:v>
                </c:pt>
                <c:pt idx="155">
                  <c:v>10305434.547972498</c:v>
                </c:pt>
                <c:pt idx="156">
                  <c:v>10381798.22390851</c:v>
                </c:pt>
                <c:pt idx="157">
                  <c:v>10458161.899844522</c:v>
                </c:pt>
                <c:pt idx="158">
                  <c:v>10534525.575780533</c:v>
                </c:pt>
                <c:pt idx="159">
                  <c:v>10610889.251716545</c:v>
                </c:pt>
                <c:pt idx="160">
                  <c:v>10687252.927652556</c:v>
                </c:pt>
                <c:pt idx="161">
                  <c:v>10763616.603588568</c:v>
                </c:pt>
                <c:pt idx="162">
                  <c:v>10839980.27952458</c:v>
                </c:pt>
                <c:pt idx="163">
                  <c:v>10916343.955460591</c:v>
                </c:pt>
                <c:pt idx="164">
                  <c:v>10992707.631396603</c:v>
                </c:pt>
                <c:pt idx="165">
                  <c:v>11069071.307332614</c:v>
                </c:pt>
                <c:pt idx="166">
                  <c:v>11145434.983268626</c:v>
                </c:pt>
                <c:pt idx="167">
                  <c:v>11221798.659204638</c:v>
                </c:pt>
                <c:pt idx="168">
                  <c:v>11298162.335140649</c:v>
                </c:pt>
                <c:pt idx="169">
                  <c:v>11374526.011076661</c:v>
                </c:pt>
                <c:pt idx="170">
                  <c:v>11450889.687012672</c:v>
                </c:pt>
                <c:pt idx="171">
                  <c:v>11527253.362948684</c:v>
                </c:pt>
                <c:pt idx="172">
                  <c:v>11603617.038884696</c:v>
                </c:pt>
                <c:pt idx="173">
                  <c:v>11679980.714820707</c:v>
                </c:pt>
                <c:pt idx="174">
                  <c:v>11756344.390756719</c:v>
                </c:pt>
                <c:pt idx="175">
                  <c:v>11832708.06669273</c:v>
                </c:pt>
                <c:pt idx="176">
                  <c:v>11909071.742628742</c:v>
                </c:pt>
                <c:pt idx="177">
                  <c:v>11985435.418564754</c:v>
                </c:pt>
                <c:pt idx="178">
                  <c:v>12061799.094500765</c:v>
                </c:pt>
                <c:pt idx="179">
                  <c:v>12138162.770436777</c:v>
                </c:pt>
                <c:pt idx="180">
                  <c:v>12214526.446372788</c:v>
                </c:pt>
                <c:pt idx="181">
                  <c:v>12290890.1223088</c:v>
                </c:pt>
                <c:pt idx="182">
                  <c:v>12367253.798244812</c:v>
                </c:pt>
                <c:pt idx="183">
                  <c:v>12443617.474180823</c:v>
                </c:pt>
                <c:pt idx="184">
                  <c:v>12519981.150116835</c:v>
                </c:pt>
                <c:pt idx="185">
                  <c:v>12596344.826052846</c:v>
                </c:pt>
                <c:pt idx="186">
                  <c:v>12672708.501988858</c:v>
                </c:pt>
                <c:pt idx="187">
                  <c:v>12749072.17792487</c:v>
                </c:pt>
                <c:pt idx="188">
                  <c:v>12825435.853860881</c:v>
                </c:pt>
                <c:pt idx="189">
                  <c:v>12901799.529796893</c:v>
                </c:pt>
                <c:pt idx="190">
                  <c:v>12978163.205732904</c:v>
                </c:pt>
                <c:pt idx="191">
                  <c:v>13054526.881668916</c:v>
                </c:pt>
                <c:pt idx="192">
                  <c:v>13130890.557604928</c:v>
                </c:pt>
                <c:pt idx="193">
                  <c:v>13207254.233540939</c:v>
                </c:pt>
                <c:pt idx="194">
                  <c:v>13283617.909476951</c:v>
                </c:pt>
                <c:pt idx="195">
                  <c:v>13359981.585412962</c:v>
                </c:pt>
                <c:pt idx="196">
                  <c:v>13436345.261348974</c:v>
                </c:pt>
                <c:pt idx="197">
                  <c:v>13512708.937284986</c:v>
                </c:pt>
                <c:pt idx="198">
                  <c:v>13589072.613220997</c:v>
                </c:pt>
                <c:pt idx="199">
                  <c:v>13665436.289157009</c:v>
                </c:pt>
                <c:pt idx="200">
                  <c:v>13741799.96509302</c:v>
                </c:pt>
                <c:pt idx="201">
                  <c:v>13818163.641029032</c:v>
                </c:pt>
                <c:pt idx="202">
                  <c:v>13894527.316965044</c:v>
                </c:pt>
                <c:pt idx="203">
                  <c:v>13970890.992901055</c:v>
                </c:pt>
                <c:pt idx="204">
                  <c:v>14047254.668837067</c:v>
                </c:pt>
                <c:pt idx="205">
                  <c:v>14123618.344773078</c:v>
                </c:pt>
                <c:pt idx="206">
                  <c:v>14199982.02070909</c:v>
                </c:pt>
                <c:pt idx="207">
                  <c:v>14276345.696645102</c:v>
                </c:pt>
                <c:pt idx="208">
                  <c:v>14352709.372581113</c:v>
                </c:pt>
                <c:pt idx="209">
                  <c:v>14429073.048517125</c:v>
                </c:pt>
                <c:pt idx="210">
                  <c:v>14505436.724453136</c:v>
                </c:pt>
                <c:pt idx="211">
                  <c:v>14581800.400389148</c:v>
                </c:pt>
                <c:pt idx="212">
                  <c:v>14658164.07632516</c:v>
                </c:pt>
                <c:pt idx="213">
                  <c:v>14734527.752261171</c:v>
                </c:pt>
                <c:pt idx="214">
                  <c:v>14810891.428197183</c:v>
                </c:pt>
                <c:pt idx="215">
                  <c:v>14887255.104133194</c:v>
                </c:pt>
                <c:pt idx="216">
                  <c:v>14963618.780069206</c:v>
                </c:pt>
                <c:pt idx="217">
                  <c:v>15039982.456005218</c:v>
                </c:pt>
                <c:pt idx="218">
                  <c:v>15116346.131941229</c:v>
                </c:pt>
                <c:pt idx="219">
                  <c:v>15192709.807877241</c:v>
                </c:pt>
                <c:pt idx="220">
                  <c:v>15269073.483813252</c:v>
                </c:pt>
                <c:pt idx="221">
                  <c:v>15345437.159749264</c:v>
                </c:pt>
                <c:pt idx="222">
                  <c:v>15421800.835685275</c:v>
                </c:pt>
                <c:pt idx="223">
                  <c:v>15498164.511621287</c:v>
                </c:pt>
                <c:pt idx="224">
                  <c:v>15574528.187557299</c:v>
                </c:pt>
                <c:pt idx="225">
                  <c:v>15650891.86349331</c:v>
                </c:pt>
                <c:pt idx="226">
                  <c:v>15727255.539429322</c:v>
                </c:pt>
                <c:pt idx="227">
                  <c:v>15803619.215365333</c:v>
                </c:pt>
                <c:pt idx="228">
                  <c:v>15879982.891301345</c:v>
                </c:pt>
                <c:pt idx="229">
                  <c:v>15956346.567237357</c:v>
                </c:pt>
                <c:pt idx="230">
                  <c:v>16032710.243173368</c:v>
                </c:pt>
                <c:pt idx="231">
                  <c:v>16109073.91910938</c:v>
                </c:pt>
                <c:pt idx="232">
                  <c:v>16185437.595045391</c:v>
                </c:pt>
                <c:pt idx="233">
                  <c:v>16261801.270981403</c:v>
                </c:pt>
                <c:pt idx="234">
                  <c:v>16338164.946917415</c:v>
                </c:pt>
                <c:pt idx="235">
                  <c:v>16414528.622853426</c:v>
                </c:pt>
                <c:pt idx="236">
                  <c:v>16490892.298789438</c:v>
                </c:pt>
                <c:pt idx="237">
                  <c:v>16567255.974725449</c:v>
                </c:pt>
                <c:pt idx="238">
                  <c:v>16643619.650661461</c:v>
                </c:pt>
                <c:pt idx="239">
                  <c:v>16719983.326597473</c:v>
                </c:pt>
                <c:pt idx="240">
                  <c:v>16796347.002533484</c:v>
                </c:pt>
              </c:numCache>
            </c:numRef>
          </c:val>
          <c:extLst>
            <c:ext xmlns:c16="http://schemas.microsoft.com/office/drawing/2014/chart" uri="{C3380CC4-5D6E-409C-BE32-E72D297353CC}">
              <c16:uniqueId val="{00000001-921C-4EFC-B505-F4F4F7D7F9AF}"/>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ax val="8000000"/>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rgbClr val="025C67"/>
      </a:solidFill>
      <a:round/>
    </a:ln>
    <a:effectLst/>
  </c:spPr>
  <c:txPr>
    <a:bodyPr/>
    <a:lstStyle/>
    <a:p>
      <a:pPr>
        <a:defRPr/>
      </a:pPr>
      <a:endParaRPr lang="es-MX"/>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31" fmlaLink="$B$2" max="50" min="1" page="10" val="10"/>
</file>

<file path=xl/ctrlProps/ctrlProp2.xml><?xml version="1.0" encoding="utf-8"?>
<formControlPr xmlns="http://schemas.microsoft.com/office/spreadsheetml/2009/9/main" objectType="Spin" dx="31" fmlaLink="$B$2" max="50" min="1" page="10" val="1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image" Target="../media/image7.png"/><Relationship Id="rId2" Type="http://schemas.openxmlformats.org/officeDocument/2006/relationships/image" Target="../media/image3.svg"/><Relationship Id="rId1" Type="http://schemas.openxmlformats.org/officeDocument/2006/relationships/image" Target="../media/image2.png"/><Relationship Id="rId6" Type="http://schemas.microsoft.com/office/2007/relationships/hdphoto" Target="../media/hdphoto1.wdp"/><Relationship Id="rId5" Type="http://schemas.openxmlformats.org/officeDocument/2006/relationships/image" Target="../media/image6.png"/><Relationship Id="rId4" Type="http://schemas.openxmlformats.org/officeDocument/2006/relationships/image" Target="../media/image5.png"/><Relationship Id="rId9" Type="http://schemas.microsoft.com/office/2007/relationships/hdphoto" Target="../media/hdphoto2.wdp"/></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chart" Target="../charts/chart1.xml"/><Relationship Id="rId4"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chart" Target="../charts/chart4.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6</xdr:col>
      <xdr:colOff>83835</xdr:colOff>
      <xdr:row>3</xdr:row>
      <xdr:rowOff>895146</xdr:rowOff>
    </xdr:from>
    <xdr:to>
      <xdr:col>6</xdr:col>
      <xdr:colOff>3331597</xdr:colOff>
      <xdr:row>6</xdr:row>
      <xdr:rowOff>88027</xdr:rowOff>
    </xdr:to>
    <xdr:pic>
      <xdr:nvPicPr>
        <xdr:cNvPr id="2" name="Graphic 11">
          <a:extLst>
            <a:ext uri="{FF2B5EF4-FFF2-40B4-BE49-F238E27FC236}">
              <a16:creationId xmlns:a16="http://schemas.microsoft.com/office/drawing/2014/main" id="{B9D846FD-D705-407F-A613-F30AB72377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056260" y="1738109"/>
          <a:ext cx="3247762" cy="3388643"/>
        </a:xfrm>
        <a:prstGeom prst="rect">
          <a:avLst/>
        </a:prstGeom>
      </xdr:spPr>
    </xdr:pic>
    <xdr:clientData/>
  </xdr:twoCellAnchor>
  <xdr:twoCellAnchor>
    <xdr:from>
      <xdr:col>6</xdr:col>
      <xdr:colOff>761288</xdr:colOff>
      <xdr:row>6</xdr:row>
      <xdr:rowOff>1223309</xdr:rowOff>
    </xdr:from>
    <xdr:to>
      <xdr:col>6</xdr:col>
      <xdr:colOff>2642722</xdr:colOff>
      <xdr:row>6</xdr:row>
      <xdr:rowOff>2222500</xdr:rowOff>
    </xdr:to>
    <xdr:grpSp>
      <xdr:nvGrpSpPr>
        <xdr:cNvPr id="3" name="Group 14">
          <a:extLst>
            <a:ext uri="{FF2B5EF4-FFF2-40B4-BE49-F238E27FC236}">
              <a16:creationId xmlns:a16="http://schemas.microsoft.com/office/drawing/2014/main" id="{5BF64E32-6B22-4AF0-900B-3125A4B3DEC3}"/>
            </a:ext>
          </a:extLst>
        </xdr:cNvPr>
        <xdr:cNvGrpSpPr/>
      </xdr:nvGrpSpPr>
      <xdr:grpSpPr>
        <a:xfrm>
          <a:off x="8425250" y="6264232"/>
          <a:ext cx="1881434" cy="999191"/>
          <a:chOff x="9461852" y="447792"/>
          <a:chExt cx="1484054" cy="839438"/>
        </a:xfrm>
      </xdr:grpSpPr>
      <xdr:pic>
        <xdr:nvPicPr>
          <xdr:cNvPr id="4" name="Imagen 12">
            <a:extLst>
              <a:ext uri="{FF2B5EF4-FFF2-40B4-BE49-F238E27FC236}">
                <a16:creationId xmlns:a16="http://schemas.microsoft.com/office/drawing/2014/main" id="{12800C77-0031-5139-7773-57F832B030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61852" y="447792"/>
            <a:ext cx="1484054" cy="665811"/>
          </a:xfrm>
          <a:prstGeom prst="rect">
            <a:avLst/>
          </a:prstGeom>
        </xdr:spPr>
      </xdr:pic>
      <xdr:pic>
        <xdr:nvPicPr>
          <xdr:cNvPr id="5" name="Picture 16">
            <a:extLst>
              <a:ext uri="{FF2B5EF4-FFF2-40B4-BE49-F238E27FC236}">
                <a16:creationId xmlns:a16="http://schemas.microsoft.com/office/drawing/2014/main" id="{8D5B3734-5803-77BA-25B3-B8557E01F09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V="1">
            <a:off x="9803462" y="1104120"/>
            <a:ext cx="186805" cy="131882"/>
          </a:xfrm>
          <a:prstGeom prst="rect">
            <a:avLst/>
          </a:prstGeom>
        </xdr:spPr>
      </xdr:pic>
      <xdr:pic>
        <xdr:nvPicPr>
          <xdr:cNvPr id="6" name="Picture 17">
            <a:extLst>
              <a:ext uri="{FF2B5EF4-FFF2-40B4-BE49-F238E27FC236}">
                <a16:creationId xmlns:a16="http://schemas.microsoft.com/office/drawing/2014/main" id="{E2E94E49-B083-B621-63E4-5A79CE71D6E1}"/>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10009615" y="1043622"/>
            <a:ext cx="244696" cy="243608"/>
          </a:xfrm>
          <a:prstGeom prst="rect">
            <a:avLst/>
          </a:prstGeom>
        </xdr:spPr>
      </xdr:pic>
      <xdr:pic>
        <xdr:nvPicPr>
          <xdr:cNvPr id="7" name="Picture 18" descr="Tiktok black and white icon | Black app, App icon, App">
            <a:extLst>
              <a:ext uri="{FF2B5EF4-FFF2-40B4-BE49-F238E27FC236}">
                <a16:creationId xmlns:a16="http://schemas.microsoft.com/office/drawing/2014/main" id="{A3D26340-146D-CC91-36BD-414E11AE4CF1}"/>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a14:imgEffect>
                      <a14:backgroundRemoval t="10000" b="92750" l="10000" r="90000">
                        <a14:foregroundMark x1="27667" y1="90500" x2="41750" y2="92750"/>
                      </a14:backgroundRemoval>
                    </a14:imgEffect>
                    <a14:imgEffect>
                      <a14:saturation sat="300000"/>
                    </a14:imgEffect>
                  </a14:imgLayer>
                </a14:imgProps>
              </a:ext>
              <a:ext uri="{28A0092B-C50C-407E-A947-70E740481C1C}">
                <a14:useLocalDpi xmlns:a14="http://schemas.microsoft.com/office/drawing/2010/main" val="0"/>
              </a:ext>
            </a:extLst>
          </a:blip>
          <a:srcRect/>
          <a:stretch>
            <a:fillRect/>
          </a:stretch>
        </xdr:blipFill>
        <xdr:spPr bwMode="auto">
          <a:xfrm>
            <a:off x="10241439" y="1061866"/>
            <a:ext cx="196657" cy="19906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19" descr="HD White Outline Round Instagram Logo Icon PNG | Citypng">
            <a:extLst>
              <a:ext uri="{FF2B5EF4-FFF2-40B4-BE49-F238E27FC236}">
                <a16:creationId xmlns:a16="http://schemas.microsoft.com/office/drawing/2014/main" id="{F0FC94C4-19FE-728B-ADA3-0F64533F5BEF}"/>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10000" b="90000" l="10000" r="90000">
                        <a14:foregroundMark x1="32991" y1="56863" x2="32889" y2="57778"/>
                        <a14:foregroundMark x1="33862" y1="49020" x2="32991" y2="56863"/>
                        <a14:foregroundMark x1="33934" y1="48372" x2="33862" y2="49020"/>
                        <a14:foregroundMark x1="34667" y1="41778" x2="34292" y2="45153"/>
                        <a14:foregroundMark x1="69333" y1="27556" x2="69778" y2="31111"/>
                        <a14:foregroundMark x1="11765" y1="39216" x2="11765" y2="37255"/>
                        <a14:foregroundMark x1="11765" y1="41176" x2="11765" y2="39216"/>
                        <a14:foregroundMark x1="70588" y1="29412" x2="70588" y2="29412"/>
                        <a14:foregroundMark x1="64706" y1="31373" x2="64706" y2="31373"/>
                        <a14:backgroundMark x1="35294" y1="21569" x2="25490" y2="29412"/>
                        <a14:backgroundMark x1="7843" y1="29412" x2="7843" y2="37255"/>
                        <a14:backgroundMark x1="17647" y1="35294" x2="17647" y2="35294"/>
                        <a14:backgroundMark x1="17647" y1="39216" x2="17647" y2="39216"/>
                        <a14:backgroundMark x1="25490" y1="60784" x2="25490" y2="60784"/>
                        <a14:backgroundMark x1="27451" y1="58824" x2="27451" y2="58824"/>
                        <a14:backgroundMark x1="27451" y1="56863" x2="27451" y2="56863"/>
                        <a14:backgroundMark x1="52941" y1="49020" x2="52941" y2="49020"/>
                        <a14:backgroundMark x1="39216" y1="49020" x2="39216" y2="49020"/>
                        <a14:backgroundMark x1="39216" y1="49020" x2="39216" y2="49020"/>
                        <a14:backgroundMark x1="39216" y1="49020" x2="37255" y2="50980"/>
                        <a14:backgroundMark x1="66667" y1="31373" x2="66667" y2="31373"/>
                        <a14:backgroundMark x1="64706" y1="31373" x2="64706" y2="31373"/>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45964" y="1079867"/>
            <a:ext cx="197837" cy="19153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223243</xdr:colOff>
      <xdr:row>4</xdr:row>
      <xdr:rowOff>47364</xdr:rowOff>
    </xdr:from>
    <xdr:to>
      <xdr:col>5</xdr:col>
      <xdr:colOff>878086</xdr:colOff>
      <xdr:row>7</xdr:row>
      <xdr:rowOff>16084</xdr:rowOff>
    </xdr:to>
    <xdr:pic>
      <xdr:nvPicPr>
        <xdr:cNvPr id="2" name="Picture 14">
          <a:extLst>
            <a:ext uri="{FF2B5EF4-FFF2-40B4-BE49-F238E27FC236}">
              <a16:creationId xmlns:a16="http://schemas.microsoft.com/office/drawing/2014/main" id="{C2CD44FF-C233-43E4-A0F4-6956110991BA}"/>
            </a:ext>
          </a:extLst>
        </xdr:cNvPr>
        <xdr:cNvPicPr>
          <a:picLocks noChangeAspect="1"/>
        </xdr:cNvPicPr>
      </xdr:nvPicPr>
      <xdr:blipFill>
        <a:blip xmlns:r="http://schemas.openxmlformats.org/officeDocument/2006/relationships" r:embed="rId1">
          <a:alphaModFix amt="35000"/>
        </a:blip>
        <a:stretch>
          <a:fillRect/>
        </a:stretch>
      </xdr:blipFill>
      <xdr:spPr>
        <a:xfrm>
          <a:off x="4259156" y="2016475"/>
          <a:ext cx="1778305" cy="7899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83820</xdr:colOff>
          <xdr:row>28</xdr:row>
          <xdr:rowOff>152400</xdr:rowOff>
        </xdr:from>
        <xdr:to>
          <xdr:col>8</xdr:col>
          <xdr:colOff>525780</xdr:colOff>
          <xdr:row>30</xdr:row>
          <xdr:rowOff>60960</xdr:rowOff>
        </xdr:to>
        <xdr:sp macro="" textlink="">
          <xdr:nvSpPr>
            <xdr:cNvPr id="74753" name="Spinner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9</xdr:col>
      <xdr:colOff>285750</xdr:colOff>
      <xdr:row>58</xdr:row>
      <xdr:rowOff>57149</xdr:rowOff>
    </xdr:from>
    <xdr:to>
      <xdr:col>10</xdr:col>
      <xdr:colOff>835027</xdr:colOff>
      <xdr:row>60</xdr:row>
      <xdr:rowOff>117474</xdr:rowOff>
    </xdr:to>
    <xdr:pic>
      <xdr:nvPicPr>
        <xdr:cNvPr id="2" name="Imagen 2" descr="Más Nómina">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35200" y="1231899"/>
          <a:ext cx="195262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83820</xdr:colOff>
          <xdr:row>71</xdr:row>
          <xdr:rowOff>152400</xdr:rowOff>
        </xdr:from>
        <xdr:to>
          <xdr:col>8</xdr:col>
          <xdr:colOff>525780</xdr:colOff>
          <xdr:row>73</xdr:row>
          <xdr:rowOff>60960</xdr:rowOff>
        </xdr:to>
        <xdr:sp macro="" textlink="">
          <xdr:nvSpPr>
            <xdr:cNvPr id="74754" name="Spinner 2" hidden="1">
              <a:extLst>
                <a:ext uri="{63B3BB69-23CF-44E3-9099-C40C66FF867C}">
                  <a14:compatExt spid="_x0000_s74754"/>
                </a:ext>
                <a:ext uri="{FF2B5EF4-FFF2-40B4-BE49-F238E27FC236}">
                  <a16:creationId xmlns:a16="http://schemas.microsoft.com/office/drawing/2014/main" id="{00000000-0008-0000-0300-0000022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633131</xdr:colOff>
      <xdr:row>10</xdr:row>
      <xdr:rowOff>212912</xdr:rowOff>
    </xdr:from>
    <xdr:to>
      <xdr:col>4</xdr:col>
      <xdr:colOff>937690</xdr:colOff>
      <xdr:row>13</xdr:row>
      <xdr:rowOff>239208</xdr:rowOff>
    </xdr:to>
    <xdr:pic>
      <xdr:nvPicPr>
        <xdr:cNvPr id="2" name="Picture 14">
          <a:extLst>
            <a:ext uri="{FF2B5EF4-FFF2-40B4-BE49-F238E27FC236}">
              <a16:creationId xmlns:a16="http://schemas.microsoft.com/office/drawing/2014/main" id="{A0430CE2-33A3-4DBF-88F1-34C64594239C}"/>
            </a:ext>
          </a:extLst>
        </xdr:cNvPr>
        <xdr:cNvPicPr>
          <a:picLocks noChangeAspect="1"/>
        </xdr:cNvPicPr>
      </xdr:nvPicPr>
      <xdr:blipFill>
        <a:blip xmlns:r="http://schemas.openxmlformats.org/officeDocument/2006/relationships" r:embed="rId1">
          <a:alphaModFix amt="20000"/>
        </a:blip>
        <a:stretch>
          <a:fillRect/>
        </a:stretch>
      </xdr:blipFill>
      <xdr:spPr>
        <a:xfrm>
          <a:off x="3204882" y="2907927"/>
          <a:ext cx="1464367" cy="648222"/>
        </a:xfrm>
        <a:prstGeom prst="rect">
          <a:avLst/>
        </a:prstGeom>
      </xdr:spPr>
    </xdr:pic>
    <xdr:clientData/>
  </xdr:twoCellAnchor>
  <xdr:oneCellAnchor>
    <xdr:from>
      <xdr:col>6</xdr:col>
      <xdr:colOff>505289</xdr:colOff>
      <xdr:row>2</xdr:row>
      <xdr:rowOff>348476</xdr:rowOff>
    </xdr:from>
    <xdr:ext cx="3490326" cy="1020985"/>
    <xdr:sp macro="" textlink="">
      <xdr:nvSpPr>
        <xdr:cNvPr id="3" name="TextBox 2">
          <a:extLst>
            <a:ext uri="{FF2B5EF4-FFF2-40B4-BE49-F238E27FC236}">
              <a16:creationId xmlns:a16="http://schemas.microsoft.com/office/drawing/2014/main" id="{DEF5D83E-5768-40CA-8A87-B6F3D0272B53}"/>
            </a:ext>
          </a:extLst>
        </xdr:cNvPr>
        <xdr:cNvSpPr txBox="1"/>
      </xdr:nvSpPr>
      <xdr:spPr>
        <a:xfrm>
          <a:off x="6679116" y="714376"/>
          <a:ext cx="3490326" cy="1020985"/>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0" i="0">
              <a:solidFill>
                <a:schemeClr val="tx1"/>
              </a:solidFill>
              <a:effectLst/>
              <a:latin typeface="Helvetica" panose="020B0604020202020204" pitchFamily="34" charset="0"/>
              <a:ea typeface="+mn-ea"/>
              <a:cs typeface="Helvetica" panose="020B0604020202020204" pitchFamily="34" charset="0"/>
            </a:rPr>
            <a:t>- SI VAS A PROYECTAR UNA PENSIÓN PARA 2025 (AÑO</a:t>
          </a:r>
          <a:r>
            <a:rPr lang="en-US" sz="900" b="0" i="0" baseline="0">
              <a:solidFill>
                <a:schemeClr val="tx1"/>
              </a:solidFill>
              <a:effectLst/>
              <a:latin typeface="Helvetica" panose="020B0604020202020204" pitchFamily="34" charset="0"/>
              <a:ea typeface="+mn-ea"/>
              <a:cs typeface="Helvetica" panose="020B0604020202020204" pitchFamily="34" charset="0"/>
            </a:rPr>
            <a:t> ACTUAL)</a:t>
          </a:r>
          <a:r>
            <a:rPr lang="en-US" sz="900" b="0" i="0">
              <a:solidFill>
                <a:schemeClr val="tx1"/>
              </a:solidFill>
              <a:effectLst/>
              <a:latin typeface="Helvetica" panose="020B0604020202020204" pitchFamily="34" charset="0"/>
              <a:ea typeface="+mn-ea"/>
              <a:cs typeface="Helvetica" panose="020B0604020202020204" pitchFamily="34" charset="0"/>
            </a:rPr>
            <a:t> O DEL FUTURO (EJEMPLO: 2026), </a:t>
          </a:r>
          <a:r>
            <a:rPr lang="en-US" sz="900" b="1" i="0">
              <a:solidFill>
                <a:schemeClr val="tx1"/>
              </a:solidFill>
              <a:effectLst/>
              <a:latin typeface="Helvetica" panose="020B0604020202020204" pitchFamily="34" charset="0"/>
              <a:ea typeface="+mn-ea"/>
              <a:cs typeface="Helvetica" panose="020B0604020202020204" pitchFamily="34" charset="0"/>
            </a:rPr>
            <a:t>INGRESA LA FECHA ACTUAL.</a:t>
          </a:r>
          <a:endParaRPr lang="en-US" sz="900" b="1">
            <a:effectLst/>
            <a:latin typeface="Helvetica" panose="020B0604020202020204" pitchFamily="34" charset="0"/>
            <a:cs typeface="Helvetica" panose="020B0604020202020204" pitchFamily="34" charset="0"/>
          </a:endParaRPr>
        </a:p>
        <a:p>
          <a:pPr algn="l"/>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a:t>
          </a:r>
          <a:r>
            <a:rPr lang="en-US" sz="900" b="0" i="0" kern="1200">
              <a:ln>
                <a:noFill/>
              </a:ln>
              <a:solidFill>
                <a:sysClr val="windowText" lastClr="000000"/>
              </a:solidFill>
              <a:latin typeface="Helvetica" panose="020B0604020202020204" pitchFamily="34" charset="0"/>
              <a:cs typeface="Helvetica" panose="020B0604020202020204" pitchFamily="34" charset="0"/>
            </a:rPr>
            <a:t>SI YA TIENES UNA FECHA DE BAJA EN EL IMSS Y NO PLANEAS VOLVER A COTIZAR</a:t>
          </a:r>
          <a:r>
            <a:rPr lang="en-US" sz="900" b="1" i="0" kern="1200">
              <a:ln>
                <a:noFill/>
              </a:ln>
              <a:solidFill>
                <a:sysClr val="windowText" lastClr="000000"/>
              </a:solidFill>
              <a:latin typeface="Helvetica" panose="020B0604020202020204" pitchFamily="34" charset="0"/>
              <a:cs typeface="Helvetica" panose="020B0604020202020204" pitchFamily="34" charset="0"/>
            </a:rPr>
            <a:t>, INGRESA LA FECHA EN LA QUE CAUSASTE BAJA (FECHA DE BAJA EN CONSTANCIA).</a:t>
          </a:r>
        </a:p>
      </xdr:txBody>
    </xdr:sp>
    <xdr:clientData/>
  </xdr:oneCellAnchor>
  <xdr:twoCellAnchor>
    <xdr:from>
      <xdr:col>5</xdr:col>
      <xdr:colOff>1219409</xdr:colOff>
      <xdr:row>3</xdr:row>
      <xdr:rowOff>115138</xdr:rowOff>
    </xdr:from>
    <xdr:to>
      <xdr:col>6</xdr:col>
      <xdr:colOff>435594</xdr:colOff>
      <xdr:row>3</xdr:row>
      <xdr:rowOff>121966</xdr:rowOff>
    </xdr:to>
    <xdr:cxnSp macro="">
      <xdr:nvCxnSpPr>
        <xdr:cNvPr id="4" name="Straight Arrow Connector 1">
          <a:extLst>
            <a:ext uri="{FF2B5EF4-FFF2-40B4-BE49-F238E27FC236}">
              <a16:creationId xmlns:a16="http://schemas.microsoft.com/office/drawing/2014/main" id="{B60CF533-C40C-4FA0-8658-CF45ECCB4C66}"/>
            </a:ext>
          </a:extLst>
        </xdr:cNvPr>
        <xdr:cNvCxnSpPr/>
      </xdr:nvCxnSpPr>
      <xdr:spPr>
        <a:xfrm>
          <a:off x="6374423" y="868764"/>
          <a:ext cx="446061" cy="6828"/>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2045222</xdr:colOff>
      <xdr:row>0</xdr:row>
      <xdr:rowOff>33751</xdr:rowOff>
    </xdr:from>
    <xdr:to>
      <xdr:col>2</xdr:col>
      <xdr:colOff>3046178</xdr:colOff>
      <xdr:row>0</xdr:row>
      <xdr:rowOff>481940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0290" y="33751"/>
          <a:ext cx="1000956" cy="448189"/>
        </a:xfrm>
        <a:prstGeom prst="rect">
          <a:avLst/>
        </a:prstGeom>
      </xdr:spPr>
    </xdr:pic>
    <xdr:clientData/>
  </xdr:twoCellAnchor>
  <xdr:twoCellAnchor editAs="oneCell">
    <xdr:from>
      <xdr:col>2</xdr:col>
      <xdr:colOff>2527300</xdr:colOff>
      <xdr:row>76</xdr:row>
      <xdr:rowOff>88900</xdr:rowOff>
    </xdr:from>
    <xdr:to>
      <xdr:col>2</xdr:col>
      <xdr:colOff>3006143</xdr:colOff>
      <xdr:row>76</xdr:row>
      <xdr:rowOff>549275</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67550" y="20427950"/>
          <a:ext cx="478843" cy="460375"/>
        </a:xfrm>
        <a:prstGeom prst="rect">
          <a:avLst/>
        </a:prstGeom>
      </xdr:spPr>
    </xdr:pic>
    <xdr:clientData/>
  </xdr:twoCellAnchor>
  <xdr:twoCellAnchor editAs="oneCell">
    <xdr:from>
      <xdr:col>2</xdr:col>
      <xdr:colOff>2546350</xdr:colOff>
      <xdr:row>74</xdr:row>
      <xdr:rowOff>114300</xdr:rowOff>
    </xdr:from>
    <xdr:to>
      <xdr:col>2</xdr:col>
      <xdr:colOff>3025193</xdr:colOff>
      <xdr:row>74</xdr:row>
      <xdr:rowOff>574675</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86600" y="19634200"/>
          <a:ext cx="478843" cy="460375"/>
        </a:xfrm>
        <a:prstGeom prst="rect">
          <a:avLst/>
        </a:prstGeom>
      </xdr:spPr>
    </xdr:pic>
    <xdr:clientData/>
  </xdr:twoCellAnchor>
  <xdr:twoCellAnchor>
    <xdr:from>
      <xdr:col>3</xdr:col>
      <xdr:colOff>32619</xdr:colOff>
      <xdr:row>4</xdr:row>
      <xdr:rowOff>202242</xdr:rowOff>
    </xdr:from>
    <xdr:to>
      <xdr:col>5</xdr:col>
      <xdr:colOff>91336</xdr:colOff>
      <xdr:row>4</xdr:row>
      <xdr:rowOff>202242</xdr:rowOff>
    </xdr:to>
    <xdr:cxnSp macro="">
      <xdr:nvCxnSpPr>
        <xdr:cNvPr id="3" name="Straight Arrow Connector 2">
          <a:extLst>
            <a:ext uri="{FF2B5EF4-FFF2-40B4-BE49-F238E27FC236}">
              <a16:creationId xmlns:a16="http://schemas.microsoft.com/office/drawing/2014/main" id="{DFD3501F-5BFC-1DA7-4A54-14276A42BCD7}"/>
            </a:ext>
          </a:extLst>
        </xdr:cNvPr>
        <xdr:cNvCxnSpPr/>
      </xdr:nvCxnSpPr>
      <xdr:spPr>
        <a:xfrm>
          <a:off x="7685240" y="1604897"/>
          <a:ext cx="645874" cy="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65238</xdr:colOff>
      <xdr:row>3</xdr:row>
      <xdr:rowOff>241385</xdr:rowOff>
    </xdr:from>
    <xdr:ext cx="3490326" cy="1406860"/>
    <xdr:sp macro="" textlink="">
      <xdr:nvSpPr>
        <xdr:cNvPr id="4" name="TextBox 3">
          <a:extLst>
            <a:ext uri="{FF2B5EF4-FFF2-40B4-BE49-F238E27FC236}">
              <a16:creationId xmlns:a16="http://schemas.microsoft.com/office/drawing/2014/main" id="{5995767A-AE02-8BCF-04EB-4520D16DD0AE}"/>
            </a:ext>
          </a:extLst>
        </xdr:cNvPr>
        <xdr:cNvSpPr txBox="1"/>
      </xdr:nvSpPr>
      <xdr:spPr>
        <a:xfrm>
          <a:off x="8305016" y="1370033"/>
          <a:ext cx="3490326" cy="140686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a:t>
          </a:r>
          <a:r>
            <a:rPr lang="en-US" sz="900" b="0" i="0" kern="1200">
              <a:ln>
                <a:noFill/>
              </a:ln>
              <a:solidFill>
                <a:sysClr val="windowText" lastClr="000000"/>
              </a:solidFill>
              <a:latin typeface="Helvetica" panose="020B0604020202020204" pitchFamily="34" charset="0"/>
              <a:cs typeface="Helvetica" panose="020B0604020202020204" pitchFamily="34" charset="0"/>
            </a:rPr>
            <a:t>SI TE VAS A PENSIONAR EN 2024, </a:t>
          </a:r>
          <a:r>
            <a:rPr lang="en-US" sz="900" b="1" i="0" kern="1200">
              <a:ln>
                <a:noFill/>
              </a:ln>
              <a:solidFill>
                <a:sysClr val="windowText" lastClr="000000"/>
              </a:solidFill>
              <a:latin typeface="Helvetica" panose="020B0604020202020204" pitchFamily="34" charset="0"/>
              <a:cs typeface="Helvetica" panose="020B0604020202020204" pitchFamily="34" charset="0"/>
            </a:rPr>
            <a:t>SELECCIONA 2024.</a:t>
          </a:r>
        </a:p>
        <a:p>
          <a:pPr algn="l"/>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 SI VAS A PROYECTAR UNA PENSIÓN DEL FUTURO (EJEMPLO</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PARA 2025)</a:t>
          </a:r>
          <a:r>
            <a:rPr lang="en-US" sz="900" b="0" i="0" kern="1200">
              <a:ln>
                <a:noFill/>
              </a:ln>
              <a:solidFill>
                <a:sysClr val="windowText" lastClr="000000"/>
              </a:solidFill>
              <a:latin typeface="Helvetica" panose="020B0604020202020204" pitchFamily="34" charset="0"/>
              <a:cs typeface="Helvetica" panose="020B0604020202020204" pitchFamily="34" charset="0"/>
            </a:rPr>
            <a:t>, SELECCIONA</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EL </a:t>
          </a:r>
          <a:r>
            <a:rPr lang="en-US" sz="900" b="1" i="0" kern="1200" baseline="0">
              <a:ln>
                <a:noFill/>
              </a:ln>
              <a:solidFill>
                <a:sysClr val="windowText" lastClr="000000"/>
              </a:solidFill>
              <a:latin typeface="Helvetica" panose="020B0604020202020204" pitchFamily="34" charset="0"/>
              <a:cs typeface="Helvetica" panose="020B0604020202020204" pitchFamily="34" charset="0"/>
            </a:rPr>
            <a:t>AÑO EN EL QUE TE VAS A PENSIONAR</a:t>
          </a:r>
          <a:r>
            <a:rPr lang="en-US" sz="900" b="1" i="0" kern="1200" baseline="0">
              <a:ln>
                <a:noFill/>
              </a:ln>
              <a:solidFill>
                <a:sysClr val="windowText" lastClr="000000"/>
              </a:solidFill>
              <a:latin typeface="Arial Rounded MT Bold" panose="020F0704030504030204" pitchFamily="34" charset="0"/>
            </a:rPr>
            <a:t>.</a:t>
          </a:r>
        </a:p>
        <a:p>
          <a:pPr algn="l"/>
          <a:endParaRPr lang="en-US" sz="900" b="1" i="0" kern="1200" baseline="0">
            <a:ln>
              <a:noFill/>
            </a:ln>
            <a:solidFill>
              <a:sysClr val="windowText" lastClr="000000"/>
            </a:solidFill>
            <a:latin typeface="Arial Rounded MT Bold" panose="020F0704030504030204" pitchFamily="34" charset="0"/>
          </a:endParaRPr>
        </a:p>
        <a:p>
          <a:r>
            <a:rPr lang="en-US" sz="900" b="1" i="0" kern="1200" baseline="0">
              <a:ln>
                <a:noFill/>
              </a:ln>
              <a:solidFill>
                <a:sysClr val="windowText" lastClr="000000"/>
              </a:solidFill>
              <a:effectLst/>
              <a:latin typeface="Arial Rounded MT Bold" panose="020F0704030504030204" pitchFamily="34" charset="0"/>
              <a:ea typeface="+mn-ea"/>
              <a:cs typeface="+mn-cs"/>
            </a:rPr>
            <a:t>- </a:t>
          </a:r>
          <a:r>
            <a:rPr lang="en-US" sz="1100" b="0" i="0">
              <a:solidFill>
                <a:schemeClr val="tx1"/>
              </a:solidFill>
              <a:effectLst/>
              <a:latin typeface="+mn-lt"/>
              <a:ea typeface="+mn-ea"/>
              <a:cs typeface="+mn-cs"/>
            </a:rPr>
            <a:t>SI YA TIENES UNA FECHA DE BAJA EN EL IMSS Y NO PLANEAS VOLVER A COTIZAR, SELECCIONA EL </a:t>
          </a:r>
          <a:r>
            <a:rPr lang="en-US" sz="1100" b="1" i="0">
              <a:solidFill>
                <a:schemeClr val="tx1"/>
              </a:solidFill>
              <a:effectLst/>
              <a:latin typeface="+mn-lt"/>
              <a:ea typeface="+mn-ea"/>
              <a:cs typeface="+mn-cs"/>
            </a:rPr>
            <a:t>AÑO EN EL QUE CAUSASTE BAJA.</a:t>
          </a:r>
          <a:endParaRPr lang="en-US" sz="900">
            <a:effectLst/>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768146</xdr:colOff>
      <xdr:row>3</xdr:row>
      <xdr:rowOff>7682</xdr:rowOff>
    </xdr:from>
    <xdr:to>
      <xdr:col>2</xdr:col>
      <xdr:colOff>1149427</xdr:colOff>
      <xdr:row>5</xdr:row>
      <xdr:rowOff>148928</xdr:rowOff>
    </xdr:to>
    <xdr:pic>
      <xdr:nvPicPr>
        <xdr:cNvPr id="2" name="Picture 14">
          <a:extLst>
            <a:ext uri="{FF2B5EF4-FFF2-40B4-BE49-F238E27FC236}">
              <a16:creationId xmlns:a16="http://schemas.microsoft.com/office/drawing/2014/main" id="{B88B428A-84C2-4E55-A0DD-61A84FA544DB}"/>
            </a:ext>
          </a:extLst>
        </xdr:cNvPr>
        <xdr:cNvPicPr>
          <a:picLocks noChangeAspect="1"/>
        </xdr:cNvPicPr>
      </xdr:nvPicPr>
      <xdr:blipFill>
        <a:blip xmlns:r="http://schemas.openxmlformats.org/officeDocument/2006/relationships" r:embed="rId1">
          <a:alphaModFix amt="35000"/>
        </a:blip>
        <a:stretch>
          <a:fillRect/>
        </a:stretch>
      </xdr:blipFill>
      <xdr:spPr>
        <a:xfrm>
          <a:off x="2319799" y="652924"/>
          <a:ext cx="1464367" cy="648222"/>
        </a:xfrm>
        <a:prstGeom prst="rect">
          <a:avLst/>
        </a:prstGeom>
      </xdr:spPr>
    </xdr:pic>
    <xdr:clientData/>
  </xdr:twoCellAnchor>
  <xdr:twoCellAnchor editAs="oneCell">
    <xdr:from>
      <xdr:col>1</xdr:col>
      <xdr:colOff>805324</xdr:colOff>
      <xdr:row>10</xdr:row>
      <xdr:rowOff>221533</xdr:rowOff>
    </xdr:from>
    <xdr:to>
      <xdr:col>2</xdr:col>
      <xdr:colOff>1186605</xdr:colOff>
      <xdr:row>13</xdr:row>
      <xdr:rowOff>109292</xdr:rowOff>
    </xdr:to>
    <xdr:pic>
      <xdr:nvPicPr>
        <xdr:cNvPr id="3" name="Picture 14">
          <a:extLst>
            <a:ext uri="{FF2B5EF4-FFF2-40B4-BE49-F238E27FC236}">
              <a16:creationId xmlns:a16="http://schemas.microsoft.com/office/drawing/2014/main" id="{D1941C6D-1216-4C7F-B3CE-A16E9B2AA28B}"/>
            </a:ext>
          </a:extLst>
        </xdr:cNvPr>
        <xdr:cNvPicPr>
          <a:picLocks noChangeAspect="1"/>
        </xdr:cNvPicPr>
      </xdr:nvPicPr>
      <xdr:blipFill>
        <a:blip xmlns:r="http://schemas.openxmlformats.org/officeDocument/2006/relationships" r:embed="rId1">
          <a:alphaModFix amt="35000"/>
        </a:blip>
        <a:stretch>
          <a:fillRect/>
        </a:stretch>
      </xdr:blipFill>
      <xdr:spPr>
        <a:xfrm>
          <a:off x="2356977" y="2456836"/>
          <a:ext cx="1464367" cy="64822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39421</xdr:colOff>
      <xdr:row>7</xdr:row>
      <xdr:rowOff>121865</xdr:rowOff>
    </xdr:from>
    <xdr:to>
      <xdr:col>6</xdr:col>
      <xdr:colOff>222259</xdr:colOff>
      <xdr:row>7</xdr:row>
      <xdr:rowOff>125235</xdr:rowOff>
    </xdr:to>
    <xdr:cxnSp macro="">
      <xdr:nvCxnSpPr>
        <xdr:cNvPr id="3" name="Straight Arrow Connector 2">
          <a:extLst>
            <a:ext uri="{FF2B5EF4-FFF2-40B4-BE49-F238E27FC236}">
              <a16:creationId xmlns:a16="http://schemas.microsoft.com/office/drawing/2014/main" id="{A00869A0-557D-465B-8F57-E63F3DC1BA9C}"/>
            </a:ext>
          </a:extLst>
        </xdr:cNvPr>
        <xdr:cNvCxnSpPr/>
      </xdr:nvCxnSpPr>
      <xdr:spPr>
        <a:xfrm flipV="1">
          <a:off x="5336487" y="1380526"/>
          <a:ext cx="449538" cy="337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7</xdr:col>
      <xdr:colOff>50554</xdr:colOff>
      <xdr:row>7</xdr:row>
      <xdr:rowOff>40977</xdr:rowOff>
    </xdr:from>
    <xdr:ext cx="3203821" cy="888320"/>
    <xdr:sp macro="" textlink="">
      <xdr:nvSpPr>
        <xdr:cNvPr id="4" name="TextBox 3">
          <a:extLst>
            <a:ext uri="{FF2B5EF4-FFF2-40B4-BE49-F238E27FC236}">
              <a16:creationId xmlns:a16="http://schemas.microsoft.com/office/drawing/2014/main" id="{8D06BAF8-940F-4850-9C7A-0E5AA794C12F}"/>
            </a:ext>
          </a:extLst>
        </xdr:cNvPr>
        <xdr:cNvSpPr txBox="1"/>
      </xdr:nvSpPr>
      <xdr:spPr>
        <a:xfrm>
          <a:off x="5440117" y="1279227"/>
          <a:ext cx="3203821" cy="88832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MODALIDAD 40 TOPADA</a:t>
          </a:r>
        </a:p>
        <a:p>
          <a:r>
            <a:rPr lang="en-US" sz="900" b="0" i="0">
              <a:solidFill>
                <a:schemeClr val="tx1"/>
              </a:solidFill>
              <a:effectLst/>
              <a:latin typeface="Helvetica" panose="020B0604020202020204" pitchFamily="34" charset="0"/>
              <a:ea typeface="+mn-ea"/>
              <a:cs typeface="Helvetica" panose="020B0604020202020204" pitchFamily="34" charset="0"/>
            </a:rPr>
            <a:t>250 SEMANAS = 4 AÑOS + 9.6 MESES</a:t>
          </a:r>
        </a:p>
        <a:p>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Nota:</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el IMSS redondea tu edad al siguiente año cumplido después de 6 meses + 1 día.</a:t>
          </a:r>
        </a:p>
        <a:p>
          <a:pPr algn="l"/>
          <a:r>
            <a:rPr lang="en-US" sz="900" b="0" i="0" kern="1200" baseline="0">
              <a:ln>
                <a:noFill/>
              </a:ln>
              <a:solidFill>
                <a:sysClr val="windowText" lastClr="000000"/>
              </a:solidFill>
              <a:latin typeface="Helvetica" panose="020B0604020202020204" pitchFamily="34" charset="0"/>
              <a:cs typeface="Helvetica" panose="020B0604020202020204" pitchFamily="34" charset="0"/>
            </a:rPr>
            <a:t>Ejemplo: 60 años + 6.01 meses = 61 años (para el IMSS.</a:t>
          </a:r>
          <a:endParaRPr lang="en-US" sz="900" b="1"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xdr:from>
          <xdr:col>6</xdr:col>
          <xdr:colOff>228600</xdr:colOff>
          <xdr:row>16</xdr:row>
          <xdr:rowOff>190500</xdr:rowOff>
        </xdr:from>
        <xdr:to>
          <xdr:col>8</xdr:col>
          <xdr:colOff>411480</xdr:colOff>
          <xdr:row>18</xdr:row>
          <xdr:rowOff>350520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700-00001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400" b="1" i="0" u="none" strike="noStrike" baseline="0">
                  <a:solidFill>
                    <a:srgbClr val="008080"/>
                  </a:solidFill>
                  <a:latin typeface="Calibri"/>
                  <a:ea typeface="Calibri"/>
                  <a:cs typeface="Calibri"/>
                </a:rPr>
                <a:t>Imprimir Escenario</a:t>
              </a:r>
            </a:p>
          </xdr:txBody>
        </xdr:sp>
        <xdr:clientData fPrintsWithSheet="0"/>
      </xdr:twoCellAnchor>
    </mc:Choice>
    <mc:Fallback/>
  </mc:AlternateContent>
  <xdr:twoCellAnchor>
    <xdr:from>
      <xdr:col>8</xdr:col>
      <xdr:colOff>435461</xdr:colOff>
      <xdr:row>18</xdr:row>
      <xdr:rowOff>95156</xdr:rowOff>
    </xdr:from>
    <xdr:to>
      <xdr:col>8</xdr:col>
      <xdr:colOff>681790</xdr:colOff>
      <xdr:row>18</xdr:row>
      <xdr:rowOff>95250</xdr:rowOff>
    </xdr:to>
    <xdr:cxnSp macro="">
      <xdr:nvCxnSpPr>
        <xdr:cNvPr id="5" name="Straight Arrow Connector 4">
          <a:extLst>
            <a:ext uri="{FF2B5EF4-FFF2-40B4-BE49-F238E27FC236}">
              <a16:creationId xmlns:a16="http://schemas.microsoft.com/office/drawing/2014/main" id="{2AE844E8-05F6-4A7E-9A3D-A51D6F57290C}"/>
            </a:ext>
          </a:extLst>
        </xdr:cNvPr>
        <xdr:cNvCxnSpPr/>
      </xdr:nvCxnSpPr>
      <xdr:spPr>
        <a:xfrm>
          <a:off x="6752040" y="3238407"/>
          <a:ext cx="246329" cy="94"/>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8</xdr:col>
      <xdr:colOff>666086</xdr:colOff>
      <xdr:row>15</xdr:row>
      <xdr:rowOff>147505</xdr:rowOff>
    </xdr:from>
    <xdr:ext cx="1790361" cy="1020559"/>
    <xdr:sp macro="" textlink="">
      <xdr:nvSpPr>
        <xdr:cNvPr id="6" name="TextBox 5">
          <a:extLst>
            <a:ext uri="{FF2B5EF4-FFF2-40B4-BE49-F238E27FC236}">
              <a16:creationId xmlns:a16="http://schemas.microsoft.com/office/drawing/2014/main" id="{2B0F85AE-FFDD-4CBD-B4D1-5B132B1495A3}"/>
            </a:ext>
          </a:extLst>
        </xdr:cNvPr>
        <xdr:cNvSpPr txBox="1"/>
      </xdr:nvSpPr>
      <xdr:spPr>
        <a:xfrm>
          <a:off x="6982665" y="2719256"/>
          <a:ext cx="1790361" cy="1020559"/>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PROYECTO</a:t>
          </a:r>
          <a:r>
            <a:rPr lang="en-US" sz="900" b="1" i="0" baseline="0">
              <a:solidFill>
                <a:schemeClr val="tx1"/>
              </a:solidFill>
              <a:effectLst/>
              <a:latin typeface="Helvetica" panose="020B0604020202020204" pitchFamily="34" charset="0"/>
              <a:ea typeface="+mn-ea"/>
              <a:cs typeface="Helvetica" panose="020B0604020202020204" pitchFamily="34" charset="0"/>
            </a:rPr>
            <a:t> DE PENSIÓN</a:t>
          </a:r>
          <a:endParaRPr lang="en-US" sz="900" b="1" i="0">
            <a:solidFill>
              <a:schemeClr val="tx1"/>
            </a:solidFill>
            <a:effectLst/>
            <a:latin typeface="Helvetica" panose="020B0604020202020204" pitchFamily="34" charset="0"/>
            <a:ea typeface="+mn-ea"/>
            <a:cs typeface="Helvetica" panose="020B0604020202020204" pitchFamily="34" charset="0"/>
          </a:endParaRPr>
        </a:p>
        <a:p>
          <a:r>
            <a:rPr lang="en-US" sz="900" b="0" i="0" kern="0">
              <a:ln>
                <a:noFill/>
              </a:ln>
              <a:solidFill>
                <a:schemeClr val="tx1"/>
              </a:solidFill>
              <a:effectLst/>
              <a:latin typeface="Helvetica" panose="020B0604020202020204" pitchFamily="34" charset="0"/>
              <a:ea typeface="+mn-ea"/>
              <a:cs typeface="Helvetica" panose="020B0604020202020204" pitchFamily="34" charset="0"/>
            </a:rPr>
            <a:t>Al</a:t>
          </a:r>
          <a:r>
            <a:rPr lang="en-US" sz="900" b="0" i="0" kern="0" baseline="0">
              <a:ln>
                <a:noFill/>
              </a:ln>
              <a:solidFill>
                <a:schemeClr val="tx1"/>
              </a:solidFill>
              <a:effectLst/>
              <a:latin typeface="Helvetica" panose="020B0604020202020204" pitchFamily="34" charset="0"/>
              <a:ea typeface="+mn-ea"/>
              <a:cs typeface="Helvetica" panose="020B0604020202020204" pitchFamily="34" charset="0"/>
            </a:rPr>
            <a:t> presionar este botón podrás agregar este escenario a tu proyecto de pensión.</a:t>
          </a:r>
        </a:p>
        <a:p>
          <a:endParaRPr lang="en-US" sz="900" b="0" i="0" kern="0" baseline="0">
            <a:ln>
              <a:noFill/>
            </a:ln>
            <a:solidFill>
              <a:schemeClr val="tx1"/>
            </a:solidFill>
            <a:effectLst/>
            <a:latin typeface="Helvetica" panose="020B0604020202020204" pitchFamily="34" charset="0"/>
            <a:ea typeface="+mn-ea"/>
            <a:cs typeface="Helvetica" panose="020B0604020202020204" pitchFamily="34" charset="0"/>
          </a:endParaRPr>
        </a:p>
        <a:p>
          <a:r>
            <a:rPr lang="en-US" sz="900" b="0" i="0" kern="0" baseline="0">
              <a:ln>
                <a:noFill/>
              </a:ln>
              <a:solidFill>
                <a:schemeClr val="tx1"/>
              </a:solidFill>
              <a:effectLst/>
              <a:latin typeface="Helvetica" panose="020B0604020202020204" pitchFamily="34" charset="0"/>
              <a:ea typeface="+mn-ea"/>
              <a:cs typeface="Helvetica" panose="020B0604020202020204" pitchFamily="34" charset="0"/>
            </a:rPr>
            <a:t>Puedes comparar hasta 10 diferentes escenarios.</a:t>
          </a:r>
          <a:endParaRPr lang="en-US" sz="900" b="1"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twoCellAnchor>
    <xdr:from>
      <xdr:col>6</xdr:col>
      <xdr:colOff>39688</xdr:colOff>
      <xdr:row>4</xdr:row>
      <xdr:rowOff>137466</xdr:rowOff>
    </xdr:from>
    <xdr:to>
      <xdr:col>7</xdr:col>
      <xdr:colOff>8213</xdr:colOff>
      <xdr:row>4</xdr:row>
      <xdr:rowOff>140836</xdr:rowOff>
    </xdr:to>
    <xdr:cxnSp macro="">
      <xdr:nvCxnSpPr>
        <xdr:cNvPr id="2" name="Straight Arrow Connector 2">
          <a:extLst>
            <a:ext uri="{FF2B5EF4-FFF2-40B4-BE49-F238E27FC236}">
              <a16:creationId xmlns:a16="http://schemas.microsoft.com/office/drawing/2014/main" id="{F6C63D27-7433-459A-8D19-F313DAAFE2D2}"/>
            </a:ext>
          </a:extLst>
        </xdr:cNvPr>
        <xdr:cNvCxnSpPr/>
      </xdr:nvCxnSpPr>
      <xdr:spPr>
        <a:xfrm flipV="1">
          <a:off x="5214938" y="970904"/>
          <a:ext cx="182838" cy="337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7</xdr:col>
      <xdr:colOff>44204</xdr:colOff>
      <xdr:row>1</xdr:row>
      <xdr:rowOff>31749</xdr:rowOff>
    </xdr:from>
    <xdr:ext cx="3208583" cy="755656"/>
    <xdr:sp macro="" textlink="">
      <xdr:nvSpPr>
        <xdr:cNvPr id="7" name="TextBox 3">
          <a:extLst>
            <a:ext uri="{FF2B5EF4-FFF2-40B4-BE49-F238E27FC236}">
              <a16:creationId xmlns:a16="http://schemas.microsoft.com/office/drawing/2014/main" id="{FB03AC73-DBD7-4ED9-B7FA-EFDC4CE9A154}"/>
            </a:ext>
          </a:extLst>
        </xdr:cNvPr>
        <xdr:cNvSpPr txBox="1"/>
      </xdr:nvSpPr>
      <xdr:spPr>
        <a:xfrm>
          <a:off x="5433767" y="404812"/>
          <a:ext cx="3208583" cy="755656"/>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PARA</a:t>
          </a:r>
          <a:r>
            <a:rPr lang="en-US" sz="900" b="1" i="0" baseline="0">
              <a:solidFill>
                <a:schemeClr val="tx1"/>
              </a:solidFill>
              <a:effectLst/>
              <a:latin typeface="Helvetica" panose="020B0604020202020204" pitchFamily="34" charset="0"/>
              <a:ea typeface="+mn-ea"/>
              <a:cs typeface="Helvetica" panose="020B0604020202020204" pitchFamily="34" charset="0"/>
            </a:rPr>
            <a:t> MODALIDAD 40 RETROACTIVA: </a:t>
          </a:r>
          <a:r>
            <a:rPr lang="en-US" sz="900" b="0" i="0" baseline="0">
              <a:solidFill>
                <a:schemeClr val="tx1"/>
              </a:solidFill>
              <a:effectLst/>
              <a:latin typeface="Helvetica" panose="020B0604020202020204" pitchFamily="34" charset="0"/>
              <a:ea typeface="+mn-ea"/>
              <a:cs typeface="Helvetica" panose="020B0604020202020204" pitchFamily="34" charset="0"/>
            </a:rPr>
            <a:t>Selecciona la edad más inmediata que aparece en "AÑOS".</a:t>
          </a:r>
        </a:p>
        <a:p>
          <a:endParaRPr lang="en-US" sz="900" b="1" i="0" kern="1200" baseline="0">
            <a:ln>
              <a:noFill/>
            </a:ln>
            <a:solidFill>
              <a:schemeClr val="tx1"/>
            </a:solidFill>
            <a:effectLst/>
            <a:latin typeface="Helvetica" panose="020B0604020202020204" pitchFamily="34" charset="0"/>
            <a:ea typeface="+mn-ea"/>
            <a:cs typeface="Helvetica" panose="020B0604020202020204" pitchFamily="34" charset="0"/>
          </a:endParaRPr>
        </a:p>
        <a:p>
          <a:r>
            <a:rPr lang="en-US" sz="900" b="1" i="0" kern="1200" baseline="0">
              <a:ln>
                <a:noFill/>
              </a:ln>
              <a:solidFill>
                <a:schemeClr val="tx1"/>
              </a:solidFill>
              <a:effectLst/>
              <a:latin typeface="Helvetica" panose="020B0604020202020204" pitchFamily="34" charset="0"/>
              <a:ea typeface="+mn-ea"/>
              <a:cs typeface="Helvetica" panose="020B0604020202020204" pitchFamily="34" charset="0"/>
            </a:rPr>
            <a:t>PARA MODALIDAD 40 MES A MES: </a:t>
          </a:r>
          <a:r>
            <a:rPr lang="en-US" sz="900" b="0" i="0" kern="1200" baseline="0">
              <a:ln>
                <a:noFill/>
              </a:ln>
              <a:solidFill>
                <a:schemeClr val="tx1"/>
              </a:solidFill>
              <a:effectLst/>
              <a:latin typeface="Helvetica" panose="020B0604020202020204" pitchFamily="34" charset="0"/>
              <a:ea typeface="+mn-ea"/>
              <a:cs typeface="Helvetica" panose="020B0604020202020204" pitchFamily="34" charset="0"/>
            </a:rPr>
            <a:t>Selecciona la edad a la que deseas comenzar a pagar Modalidad 40.</a:t>
          </a:r>
          <a:endParaRPr lang="en-US" sz="900" b="0"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5</xdr:col>
      <xdr:colOff>0</xdr:colOff>
      <xdr:row>6</xdr:row>
      <xdr:rowOff>0</xdr:rowOff>
    </xdr:from>
    <xdr:ext cx="184731" cy="264560"/>
    <xdr:sp macro="" textlink="">
      <xdr:nvSpPr>
        <xdr:cNvPr id="14" name="CuadroTexto 26">
          <a:extLst>
            <a:ext uri="{FF2B5EF4-FFF2-40B4-BE49-F238E27FC236}">
              <a16:creationId xmlns:a16="http://schemas.microsoft.com/office/drawing/2014/main" id="{00000000-0008-0000-0600-00000E000000}"/>
            </a:ext>
          </a:extLst>
        </xdr:cNvPr>
        <xdr:cNvSpPr txBox="1"/>
      </xdr:nvSpPr>
      <xdr:spPr>
        <a:xfrm>
          <a:off x="9646920" y="28117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twoCellAnchor editAs="oneCell">
    <xdr:from>
      <xdr:col>2</xdr:col>
      <xdr:colOff>1707445</xdr:colOff>
      <xdr:row>0</xdr:row>
      <xdr:rowOff>162278</xdr:rowOff>
    </xdr:from>
    <xdr:to>
      <xdr:col>3</xdr:col>
      <xdr:colOff>13178</xdr:colOff>
      <xdr:row>0</xdr:row>
      <xdr:rowOff>610467</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9389" y="162278"/>
          <a:ext cx="1000956" cy="448189"/>
        </a:xfrm>
        <a:prstGeom prst="rect">
          <a:avLst/>
        </a:prstGeom>
      </xdr:spPr>
    </xdr:pic>
    <xdr:clientData/>
  </xdr:twoCellAnchor>
  <xdr:twoCellAnchor editAs="oneCell">
    <xdr:from>
      <xdr:col>2</xdr:col>
      <xdr:colOff>2194278</xdr:colOff>
      <xdr:row>11</xdr:row>
      <xdr:rowOff>35278</xdr:rowOff>
    </xdr:from>
    <xdr:to>
      <xdr:col>2</xdr:col>
      <xdr:colOff>2673121</xdr:colOff>
      <xdr:row>11</xdr:row>
      <xdr:rowOff>495653</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86222" y="3012722"/>
          <a:ext cx="478843" cy="460375"/>
        </a:xfrm>
        <a:prstGeom prst="rect">
          <a:avLst/>
        </a:prstGeom>
      </xdr:spPr>
    </xdr:pic>
    <xdr:clientData/>
  </xdr:twoCellAnchor>
  <xdr:twoCellAnchor editAs="oneCell">
    <xdr:from>
      <xdr:col>2</xdr:col>
      <xdr:colOff>2205567</xdr:colOff>
      <xdr:row>13</xdr:row>
      <xdr:rowOff>18343</xdr:rowOff>
    </xdr:from>
    <xdr:to>
      <xdr:col>2</xdr:col>
      <xdr:colOff>2684410</xdr:colOff>
      <xdr:row>13</xdr:row>
      <xdr:rowOff>478718</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7511" y="3581399"/>
          <a:ext cx="478843" cy="460375"/>
        </a:xfrm>
        <a:prstGeom prst="rect">
          <a:avLst/>
        </a:prstGeom>
      </xdr:spPr>
    </xdr:pic>
    <xdr:clientData/>
  </xdr:twoCellAnchor>
  <xdr:twoCellAnchor editAs="oneCell">
    <xdr:from>
      <xdr:col>2</xdr:col>
      <xdr:colOff>2211211</xdr:colOff>
      <xdr:row>15</xdr:row>
      <xdr:rowOff>25399</xdr:rowOff>
    </xdr:from>
    <xdr:to>
      <xdr:col>2</xdr:col>
      <xdr:colOff>2690054</xdr:colOff>
      <xdr:row>15</xdr:row>
      <xdr:rowOff>485774</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03861" y="4165599"/>
          <a:ext cx="478843" cy="460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100456</xdr:colOff>
      <xdr:row>37</xdr:row>
      <xdr:rowOff>5861</xdr:rowOff>
    </xdr:from>
    <xdr:ext cx="180975" cy="172227"/>
    <xdr:sp macro="" textlink="">
      <xdr:nvSpPr>
        <xdr:cNvPr id="11" name="CuadroTexto 9">
          <a:extLst>
            <a:ext uri="{FF2B5EF4-FFF2-40B4-BE49-F238E27FC236}">
              <a16:creationId xmlns:a16="http://schemas.microsoft.com/office/drawing/2014/main" id="{00000000-0008-0000-0700-00000B000000}"/>
            </a:ext>
          </a:extLst>
        </xdr:cNvPr>
        <xdr:cNvSpPr txBox="1"/>
      </xdr:nvSpPr>
      <xdr:spPr>
        <a:xfrm>
          <a:off x="406750" y="10703743"/>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oneCellAnchor>
    <xdr:from>
      <xdr:col>1</xdr:col>
      <xdr:colOff>115696</xdr:colOff>
      <xdr:row>39</xdr:row>
      <xdr:rowOff>5861</xdr:rowOff>
    </xdr:from>
    <xdr:ext cx="180975" cy="172227"/>
    <xdr:sp macro="" textlink="">
      <xdr:nvSpPr>
        <xdr:cNvPr id="12" name="CuadroTexto 10">
          <a:extLst>
            <a:ext uri="{FF2B5EF4-FFF2-40B4-BE49-F238E27FC236}">
              <a16:creationId xmlns:a16="http://schemas.microsoft.com/office/drawing/2014/main" id="{00000000-0008-0000-0700-00000C000000}"/>
            </a:ext>
          </a:extLst>
        </xdr:cNvPr>
        <xdr:cNvSpPr txBox="1"/>
      </xdr:nvSpPr>
      <xdr:spPr>
        <a:xfrm>
          <a:off x="421990" y="11346214"/>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oneCellAnchor>
    <xdr:from>
      <xdr:col>1</xdr:col>
      <xdr:colOff>92836</xdr:colOff>
      <xdr:row>43</xdr:row>
      <xdr:rowOff>150641</xdr:rowOff>
    </xdr:from>
    <xdr:ext cx="180975" cy="172227"/>
    <xdr:sp macro="" textlink="">
      <xdr:nvSpPr>
        <xdr:cNvPr id="16" name="CuadroTexto 14">
          <a:extLst>
            <a:ext uri="{FF2B5EF4-FFF2-40B4-BE49-F238E27FC236}">
              <a16:creationId xmlns:a16="http://schemas.microsoft.com/office/drawing/2014/main" id="{00000000-0008-0000-0700-000010000000}"/>
            </a:ext>
          </a:extLst>
        </xdr:cNvPr>
        <xdr:cNvSpPr txBox="1"/>
      </xdr:nvSpPr>
      <xdr:spPr>
        <a:xfrm>
          <a:off x="399130" y="12633994"/>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twoCellAnchor>
    <xdr:from>
      <xdr:col>2</xdr:col>
      <xdr:colOff>3672840</xdr:colOff>
      <xdr:row>0</xdr:row>
      <xdr:rowOff>0</xdr:rowOff>
    </xdr:from>
    <xdr:to>
      <xdr:col>2</xdr:col>
      <xdr:colOff>4750871</xdr:colOff>
      <xdr:row>1</xdr:row>
      <xdr:rowOff>0</xdr:rowOff>
    </xdr:to>
    <xdr:grpSp>
      <xdr:nvGrpSpPr>
        <xdr:cNvPr id="25" name="Group 24">
          <a:extLst>
            <a:ext uri="{FF2B5EF4-FFF2-40B4-BE49-F238E27FC236}">
              <a16:creationId xmlns:a16="http://schemas.microsoft.com/office/drawing/2014/main" id="{00000000-0008-0000-0700-000019000000}"/>
            </a:ext>
          </a:extLst>
        </xdr:cNvPr>
        <xdr:cNvGrpSpPr/>
      </xdr:nvGrpSpPr>
      <xdr:grpSpPr>
        <a:xfrm>
          <a:off x="7661959" y="0"/>
          <a:ext cx="3611" cy="653143"/>
          <a:chOff x="7317222" y="129712"/>
          <a:chExt cx="1078877" cy="665279"/>
        </a:xfrm>
      </xdr:grpSpPr>
      <xdr:pic>
        <xdr:nvPicPr>
          <xdr:cNvPr id="26" name="Imagen 12">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7222" y="129712"/>
            <a:ext cx="1078877" cy="481202"/>
          </a:xfrm>
          <a:prstGeom prst="rect">
            <a:avLst/>
          </a:prstGeom>
        </xdr:spPr>
      </xdr:pic>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V="1">
            <a:off x="7429925" y="612809"/>
            <a:ext cx="186952" cy="131214"/>
          </a:xfrm>
          <a:prstGeom prst="rect">
            <a:avLst/>
          </a:prstGeom>
        </xdr:spPr>
      </xdr:pic>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cstate="print">
            <a:extLst>
              <a:ext uri="{BEBA8EAE-BF5A-486C-A8C5-ECC9F3942E4B}">
                <a14:imgProps xmlns:a14="http://schemas.microsoft.com/office/drawing/2010/main">
                  <a14:imgLayer>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7636240" y="552617"/>
            <a:ext cx="244888" cy="242374"/>
          </a:xfrm>
          <a:prstGeom prst="rect">
            <a:avLst/>
          </a:prstGeom>
        </xdr:spPr>
      </xdr:pic>
      <xdr:pic>
        <xdr:nvPicPr>
          <xdr:cNvPr id="29" name="Picture 28" descr="Tiktok black and white icon | Black app, App icon, App">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a14:imgEffect>
                      <a14:backgroundRemoval t="10000" b="92750" l="10000" r="90000">
                        <a14:foregroundMark x1="27667" y1="90500" x2="41750" y2="92750"/>
                      </a14:backgroundRemoval>
                    </a14:imgEffect>
                    <a14:imgEffect>
                      <a14:saturation sat="300000"/>
                    </a14:imgEffect>
                  </a14:imgLayer>
                </a14:imgProps>
              </a:ext>
              <a:ext uri="{28A0092B-C50C-407E-A947-70E740481C1C}">
                <a14:useLocalDpi xmlns:a14="http://schemas.microsoft.com/office/drawing/2010/main" val="0"/>
              </a:ext>
            </a:extLst>
          </a:blip>
          <a:srcRect/>
          <a:stretch>
            <a:fillRect/>
          </a:stretch>
        </xdr:blipFill>
        <xdr:spPr bwMode="auto">
          <a:xfrm>
            <a:off x="7868246" y="570769"/>
            <a:ext cx="196811" cy="1980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0" name="Picture 29" descr="HD White Outline Round Instagram Logo Icon PNG | Citypng">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4" cstate="print">
            <a:extLst>
              <a:ext uri="{BEBA8EAE-BF5A-486C-A8C5-ECC9F3942E4B}">
                <a14:imgProps xmlns:a14="http://schemas.microsoft.com/office/drawing/2010/main">
                  <a14:imgLayer>
                    <a14:imgEffect>
                      <a14:backgroundRemoval t="10000" b="90000" l="10000" r="90000">
                        <a14:foregroundMark x1="32991" y1="56863" x2="32889" y2="57778"/>
                        <a14:foregroundMark x1="33862" y1="49020" x2="32991" y2="56863"/>
                        <a14:foregroundMark x1="33934" y1="48372" x2="33862" y2="49020"/>
                        <a14:foregroundMark x1="34667" y1="41778" x2="34292" y2="45153"/>
                        <a14:foregroundMark x1="69333" y1="27556" x2="69778" y2="31111"/>
                        <a14:foregroundMark x1="11765" y1="39216" x2="11765" y2="37255"/>
                        <a14:foregroundMark x1="11765" y1="41176" x2="11765" y2="39216"/>
                        <a14:foregroundMark x1="70588" y1="29412" x2="70588" y2="29412"/>
                        <a14:foregroundMark x1="64706" y1="31373" x2="64706" y2="31373"/>
                        <a14:backgroundMark x1="35294" y1="21569" x2="25490" y2="29412"/>
                        <a14:backgroundMark x1="7843" y1="29412" x2="7843" y2="37255"/>
                        <a14:backgroundMark x1="17647" y1="35294" x2="17647" y2="35294"/>
                        <a14:backgroundMark x1="17647" y1="39216" x2="17647" y2="39216"/>
                        <a14:backgroundMark x1="25490" y1="60784" x2="25490" y2="60784"/>
                        <a14:backgroundMark x1="27451" y1="58824" x2="27451" y2="58824"/>
                        <a14:backgroundMark x1="27451" y1="56863" x2="27451" y2="56863"/>
                        <a14:backgroundMark x1="52941" y1="49020" x2="52941" y2="49020"/>
                        <a14:backgroundMark x1="39216" y1="49020" x2="39216" y2="49020"/>
                        <a14:backgroundMark x1="39216" y1="49020" x2="39216" y2="49020"/>
                        <a14:backgroundMark x1="39216" y1="49020" x2="37255" y2="50980"/>
                        <a14:backgroundMark x1="66667" y1="31373" x2="66667" y2="31373"/>
                        <a14:backgroundMark x1="64706" y1="31373" x2="64706" y2="31373"/>
                      </a14:backgroundRemoval>
                    </a14:imgEffect>
                  </a14:imgLayer>
                </a14:imgProps>
              </a:ext>
              <a:ext uri="{28A0092B-C50C-407E-A947-70E740481C1C}">
                <a14:useLocalDpi xmlns:a14="http://schemas.microsoft.com/office/drawing/2010/main" val="0"/>
              </a:ext>
            </a:extLst>
          </a:blip>
          <a:srcRect/>
          <a:stretch>
            <a:fillRect/>
          </a:stretch>
        </xdr:blipFill>
        <xdr:spPr bwMode="auto">
          <a:xfrm>
            <a:off x="8072932" y="588678"/>
            <a:ext cx="197992" cy="1905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1111250</xdr:colOff>
      <xdr:row>0</xdr:row>
      <xdr:rowOff>119063</xdr:rowOff>
    </xdr:from>
    <xdr:to>
      <xdr:col>3</xdr:col>
      <xdr:colOff>2112206</xdr:colOff>
      <xdr:row>0</xdr:row>
      <xdr:rowOff>567252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87938" y="119063"/>
          <a:ext cx="1000956" cy="448189"/>
        </a:xfrm>
        <a:prstGeom prst="rect">
          <a:avLst/>
        </a:prstGeom>
      </xdr:spPr>
    </xdr:pic>
    <xdr:clientData/>
  </xdr:twoCellAnchor>
  <xdr:twoCellAnchor editAs="oneCell">
    <xdr:from>
      <xdr:col>3</xdr:col>
      <xdr:colOff>1516062</xdr:colOff>
      <xdr:row>21</xdr:row>
      <xdr:rowOff>142876</xdr:rowOff>
    </xdr:from>
    <xdr:to>
      <xdr:col>3</xdr:col>
      <xdr:colOff>2074281</xdr:colOff>
      <xdr:row>22</xdr:row>
      <xdr:rowOff>282691</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92750" y="6596064"/>
          <a:ext cx="558219" cy="536690"/>
        </a:xfrm>
        <a:prstGeom prst="rect">
          <a:avLst/>
        </a:prstGeom>
      </xdr:spPr>
    </xdr:pic>
    <xdr:clientData/>
  </xdr:twoCellAnchor>
  <xdr:twoCellAnchor editAs="oneCell">
    <xdr:from>
      <xdr:col>3</xdr:col>
      <xdr:colOff>1501775</xdr:colOff>
      <xdr:row>24</xdr:row>
      <xdr:rowOff>112714</xdr:rowOff>
    </xdr:from>
    <xdr:to>
      <xdr:col>3</xdr:col>
      <xdr:colOff>2059994</xdr:colOff>
      <xdr:row>25</xdr:row>
      <xdr:rowOff>257438</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78463" y="7558089"/>
          <a:ext cx="558219" cy="5366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1119187</xdr:colOff>
      <xdr:row>1</xdr:row>
      <xdr:rowOff>7937</xdr:rowOff>
    </xdr:from>
    <xdr:to>
      <xdr:col>6</xdr:col>
      <xdr:colOff>2120143</xdr:colOff>
      <xdr:row>1</xdr:row>
      <xdr:rowOff>456126</xdr:rowOff>
    </xdr:to>
    <xdr:pic>
      <xdr:nvPicPr>
        <xdr:cNvPr id="2" name="Picture 3">
          <a:extLst>
            <a:ext uri="{FF2B5EF4-FFF2-40B4-BE49-F238E27FC236}">
              <a16:creationId xmlns:a16="http://schemas.microsoft.com/office/drawing/2014/main" id="{132174EB-C510-4420-8E1F-5136BBD3A3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39212" y="193675"/>
          <a:ext cx="1000956" cy="448189"/>
        </a:xfrm>
        <a:prstGeom prst="rect">
          <a:avLst/>
        </a:prstGeom>
      </xdr:spPr>
    </xdr:pic>
    <xdr:clientData/>
  </xdr:twoCellAnchor>
  <xdr:twoCellAnchor editAs="oneCell">
    <xdr:from>
      <xdr:col>1</xdr:col>
      <xdr:colOff>39688</xdr:colOff>
      <xdr:row>14</xdr:row>
      <xdr:rowOff>55563</xdr:rowOff>
    </xdr:from>
    <xdr:to>
      <xdr:col>1</xdr:col>
      <xdr:colOff>518531</xdr:colOff>
      <xdr:row>14</xdr:row>
      <xdr:rowOff>515938</xdr:rowOff>
    </xdr:to>
    <xdr:pic>
      <xdr:nvPicPr>
        <xdr:cNvPr id="3" name="Picture 4">
          <a:extLst>
            <a:ext uri="{FF2B5EF4-FFF2-40B4-BE49-F238E27FC236}">
              <a16:creationId xmlns:a16="http://schemas.microsoft.com/office/drawing/2014/main" id="{D88D3DFA-1C68-4410-906F-9627496046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8301" y="5375276"/>
          <a:ext cx="478843" cy="460375"/>
        </a:xfrm>
        <a:prstGeom prst="rect">
          <a:avLst/>
        </a:prstGeom>
      </xdr:spPr>
    </xdr:pic>
    <xdr:clientData/>
  </xdr:twoCellAnchor>
  <xdr:twoCellAnchor editAs="oneCell">
    <xdr:from>
      <xdr:col>1</xdr:col>
      <xdr:colOff>33338</xdr:colOff>
      <xdr:row>16</xdr:row>
      <xdr:rowOff>65088</xdr:rowOff>
    </xdr:from>
    <xdr:to>
      <xdr:col>1</xdr:col>
      <xdr:colOff>512181</xdr:colOff>
      <xdr:row>16</xdr:row>
      <xdr:rowOff>525463</xdr:rowOff>
    </xdr:to>
    <xdr:pic>
      <xdr:nvPicPr>
        <xdr:cNvPr id="4" name="Picture 5">
          <a:extLst>
            <a:ext uri="{FF2B5EF4-FFF2-40B4-BE49-F238E27FC236}">
              <a16:creationId xmlns:a16="http://schemas.microsoft.com/office/drawing/2014/main" id="{891DE1FF-ABF4-4C68-BDE9-00D262CF64B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1" y="5999163"/>
          <a:ext cx="478843" cy="460375"/>
        </a:xfrm>
        <a:prstGeom prst="rect">
          <a:avLst/>
        </a:prstGeom>
      </xdr:spPr>
    </xdr:pic>
    <xdr:clientData/>
  </xdr:twoCellAnchor>
  <xdr:twoCellAnchor editAs="oneCell">
    <xdr:from>
      <xdr:col>1</xdr:col>
      <xdr:colOff>11113</xdr:colOff>
      <xdr:row>18</xdr:row>
      <xdr:rowOff>82551</xdr:rowOff>
    </xdr:from>
    <xdr:to>
      <xdr:col>1</xdr:col>
      <xdr:colOff>489956</xdr:colOff>
      <xdr:row>18</xdr:row>
      <xdr:rowOff>542926</xdr:rowOff>
    </xdr:to>
    <xdr:pic>
      <xdr:nvPicPr>
        <xdr:cNvPr id="5" name="Picture 6">
          <a:extLst>
            <a:ext uri="{FF2B5EF4-FFF2-40B4-BE49-F238E27FC236}">
              <a16:creationId xmlns:a16="http://schemas.microsoft.com/office/drawing/2014/main" id="{4D974A58-1E23-4954-8D84-22386F37AA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9726" y="6630989"/>
          <a:ext cx="478843" cy="4603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14328</xdr:colOff>
      <xdr:row>9</xdr:row>
      <xdr:rowOff>104987</xdr:rowOff>
    </xdr:from>
    <xdr:to>
      <xdr:col>7</xdr:col>
      <xdr:colOff>4885</xdr:colOff>
      <xdr:row>43</xdr:row>
      <xdr:rowOff>71994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1707215</xdr:colOff>
      <xdr:row>11</xdr:row>
      <xdr:rowOff>14695</xdr:rowOff>
    </xdr:from>
    <xdr:to>
      <xdr:col>5</xdr:col>
      <xdr:colOff>201510</xdr:colOff>
      <xdr:row>17</xdr:row>
      <xdr:rowOff>153715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cstate="print">
          <a:alphaModFix amt="20000"/>
          <a:extLst>
            <a:ext uri="{28A0092B-C50C-407E-A947-70E740481C1C}">
              <a14:useLocalDpi xmlns:a14="http://schemas.microsoft.com/office/drawing/2010/main" val="0"/>
            </a:ext>
          </a:extLst>
        </a:blip>
        <a:stretch>
          <a:fillRect/>
        </a:stretch>
      </xdr:blipFill>
      <xdr:spPr>
        <a:xfrm>
          <a:off x="3648850" y="4655080"/>
          <a:ext cx="3659775" cy="1579981"/>
        </a:xfrm>
        <a:prstGeom prst="rect">
          <a:avLst/>
        </a:prstGeom>
      </xdr:spPr>
    </xdr:pic>
    <xdr:clientData/>
  </xdr:twoCellAnchor>
  <xdr:twoCellAnchor editAs="oneCell">
    <xdr:from>
      <xdr:col>6</xdr:col>
      <xdr:colOff>1198306</xdr:colOff>
      <xdr:row>1</xdr:row>
      <xdr:rowOff>10243</xdr:rowOff>
    </xdr:from>
    <xdr:to>
      <xdr:col>6</xdr:col>
      <xdr:colOff>1677149</xdr:colOff>
      <xdr:row>2</xdr:row>
      <xdr:rowOff>9731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67822" y="122904"/>
          <a:ext cx="478843" cy="460375"/>
        </a:xfrm>
        <a:prstGeom prst="rect">
          <a:avLst/>
        </a:prstGeom>
      </xdr:spPr>
    </xdr:pic>
    <xdr:clientData/>
  </xdr:twoCellAnchor>
  <xdr:twoCellAnchor editAs="oneCell">
    <xdr:from>
      <xdr:col>6</xdr:col>
      <xdr:colOff>1071769</xdr:colOff>
      <xdr:row>44</xdr:row>
      <xdr:rowOff>73270</xdr:rowOff>
    </xdr:from>
    <xdr:to>
      <xdr:col>7</xdr:col>
      <xdr:colOff>123677</xdr:colOff>
      <xdr:row>44</xdr:row>
      <xdr:rowOff>817163</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10386" y="11067553"/>
          <a:ext cx="815046" cy="743893"/>
        </a:xfrm>
        <a:prstGeom prst="rect">
          <a:avLst/>
        </a:prstGeom>
      </xdr:spPr>
    </xdr:pic>
    <xdr:clientData/>
  </xdr:twoCellAnchor>
  <xdr:twoCellAnchor editAs="oneCell">
    <xdr:from>
      <xdr:col>6</xdr:col>
      <xdr:colOff>1063339</xdr:colOff>
      <xdr:row>45</xdr:row>
      <xdr:rowOff>103555</xdr:rowOff>
    </xdr:from>
    <xdr:to>
      <xdr:col>7</xdr:col>
      <xdr:colOff>73936</xdr:colOff>
      <xdr:row>45</xdr:row>
      <xdr:rowOff>847448</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01956" y="11979406"/>
          <a:ext cx="773735" cy="743893"/>
        </a:xfrm>
        <a:prstGeom prst="rect">
          <a:avLst/>
        </a:prstGeom>
      </xdr:spPr>
    </xdr:pic>
    <xdr:clientData/>
  </xdr:twoCellAnchor>
  <xdr:twoCellAnchor editAs="oneCell">
    <xdr:from>
      <xdr:col>6</xdr:col>
      <xdr:colOff>996452</xdr:colOff>
      <xdr:row>52</xdr:row>
      <xdr:rowOff>12212</xdr:rowOff>
    </xdr:from>
    <xdr:to>
      <xdr:col>6</xdr:col>
      <xdr:colOff>1706173</xdr:colOff>
      <xdr:row>53</xdr:row>
      <xdr:rowOff>45349</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825394" y="13335000"/>
          <a:ext cx="709721" cy="68234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146122</xdr:colOff>
      <xdr:row>17</xdr:row>
      <xdr:rowOff>92002</xdr:rowOff>
    </xdr:from>
    <xdr:to>
      <xdr:col>6</xdr:col>
      <xdr:colOff>551882</xdr:colOff>
      <xdr:row>22</xdr:row>
      <xdr:rowOff>119061</xdr:rowOff>
    </xdr:to>
    <xdr:pic>
      <xdr:nvPicPr>
        <xdr:cNvPr id="2" name="Picture 4">
          <a:extLst>
            <a:ext uri="{FF2B5EF4-FFF2-40B4-BE49-F238E27FC236}">
              <a16:creationId xmlns:a16="http://schemas.microsoft.com/office/drawing/2014/main" id="{CA19F42D-BAE0-43EB-AE32-E60C34DF97B1}"/>
            </a:ext>
          </a:extLst>
        </xdr:cNvPr>
        <xdr:cNvPicPr>
          <a:picLocks noChangeAspect="1"/>
        </xdr:cNvPicPr>
      </xdr:nvPicPr>
      <xdr:blipFill>
        <a:blip xmlns:r="http://schemas.openxmlformats.org/officeDocument/2006/relationships" r:embed="rId1" cstate="print">
          <a:alphaModFix amt="5000"/>
          <a:extLst>
            <a:ext uri="{28A0092B-C50C-407E-A947-70E740481C1C}">
              <a14:useLocalDpi xmlns:a14="http://schemas.microsoft.com/office/drawing/2010/main" val="0"/>
            </a:ext>
          </a:extLst>
        </a:blip>
        <a:stretch>
          <a:fillRect/>
        </a:stretch>
      </xdr:blipFill>
      <xdr:spPr>
        <a:xfrm>
          <a:off x="1666875" y="4811207"/>
          <a:ext cx="2137579" cy="97414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2735389</xdr:colOff>
      <xdr:row>6</xdr:row>
      <xdr:rowOff>35718</xdr:rowOff>
    </xdr:from>
    <xdr:to>
      <xdr:col>4</xdr:col>
      <xdr:colOff>3224568</xdr:colOff>
      <xdr:row>6</xdr:row>
      <xdr:rowOff>500063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9187" y="2119312"/>
          <a:ext cx="489179" cy="464345"/>
        </a:xfrm>
        <a:prstGeom prst="rect">
          <a:avLst/>
        </a:prstGeom>
      </xdr:spPr>
    </xdr:pic>
    <xdr:clientData/>
  </xdr:twoCellAnchor>
  <xdr:twoCellAnchor editAs="oneCell">
    <xdr:from>
      <xdr:col>4</xdr:col>
      <xdr:colOff>2731051</xdr:colOff>
      <xdr:row>1</xdr:row>
      <xdr:rowOff>20583</xdr:rowOff>
    </xdr:from>
    <xdr:to>
      <xdr:col>4</xdr:col>
      <xdr:colOff>3220230</xdr:colOff>
      <xdr:row>1</xdr:row>
      <xdr:rowOff>484928</xdr:rowOff>
    </xdr:to>
    <xdr:pic>
      <xdr:nvPicPr>
        <xdr:cNvPr id="2" name="Picture 1">
          <a:extLst>
            <a:ext uri="{FF2B5EF4-FFF2-40B4-BE49-F238E27FC236}">
              <a16:creationId xmlns:a16="http://schemas.microsoft.com/office/drawing/2014/main" id="{96892D19-F0D7-4EB6-A751-7EA8D2E63E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9187" y="20583"/>
          <a:ext cx="489179" cy="464345"/>
        </a:xfrm>
        <a:prstGeom prst="rect">
          <a:avLst/>
        </a:prstGeom>
      </xdr:spPr>
    </xdr:pic>
    <xdr:clientData/>
  </xdr:twoCellAnchor>
  <xdr:twoCellAnchor>
    <xdr:from>
      <xdr:col>5</xdr:col>
      <xdr:colOff>31588</xdr:colOff>
      <xdr:row>10</xdr:row>
      <xdr:rowOff>294011</xdr:rowOff>
    </xdr:from>
    <xdr:to>
      <xdr:col>6</xdr:col>
      <xdr:colOff>80183</xdr:colOff>
      <xdr:row>10</xdr:row>
      <xdr:rowOff>295706</xdr:rowOff>
    </xdr:to>
    <xdr:cxnSp macro="">
      <xdr:nvCxnSpPr>
        <xdr:cNvPr id="4" name="Straight Arrow Connector 3">
          <a:extLst>
            <a:ext uri="{FF2B5EF4-FFF2-40B4-BE49-F238E27FC236}">
              <a16:creationId xmlns:a16="http://schemas.microsoft.com/office/drawing/2014/main" id="{DA4478B1-DC4D-498A-B1F3-FE0579BD9F7A}"/>
            </a:ext>
          </a:extLst>
        </xdr:cNvPr>
        <xdr:cNvCxnSpPr>
          <a:endCxn id="6" idx="1"/>
        </xdr:cNvCxnSpPr>
      </xdr:nvCxnSpPr>
      <xdr:spPr>
        <a:xfrm>
          <a:off x="8951556" y="4480638"/>
          <a:ext cx="459239" cy="1695"/>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6</xdr:col>
      <xdr:colOff>80183</xdr:colOff>
      <xdr:row>9</xdr:row>
      <xdr:rowOff>405736</xdr:rowOff>
    </xdr:from>
    <xdr:ext cx="2609658" cy="800476"/>
    <xdr:sp macro="" textlink="">
      <xdr:nvSpPr>
        <xdr:cNvPr id="6" name="TextBox 5">
          <a:extLst>
            <a:ext uri="{FF2B5EF4-FFF2-40B4-BE49-F238E27FC236}">
              <a16:creationId xmlns:a16="http://schemas.microsoft.com/office/drawing/2014/main" id="{192A04AB-A56D-4954-8A1A-5699E568B0CC}"/>
            </a:ext>
          </a:extLst>
        </xdr:cNvPr>
        <xdr:cNvSpPr txBox="1"/>
      </xdr:nvSpPr>
      <xdr:spPr>
        <a:xfrm>
          <a:off x="9410795" y="4082095"/>
          <a:ext cx="2609658" cy="800476"/>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b="0" i="0" kern="1200">
              <a:ln>
                <a:noFill/>
              </a:ln>
              <a:solidFill>
                <a:sysClr val="windowText" lastClr="000000"/>
              </a:solidFill>
              <a:latin typeface="Helvetica" panose="020B0604020202020204" pitchFamily="34" charset="0"/>
              <a:cs typeface="Helvetica" panose="020B0604020202020204" pitchFamily="34" charset="0"/>
            </a:rPr>
            <a:t>Si</a:t>
          </a:r>
          <a:r>
            <a:rPr lang="en-US" sz="1200" b="0" i="0" kern="1200" baseline="0">
              <a:ln>
                <a:noFill/>
              </a:ln>
              <a:solidFill>
                <a:sysClr val="windowText" lastClr="000000"/>
              </a:solidFill>
              <a:latin typeface="Helvetica" panose="020B0604020202020204" pitchFamily="34" charset="0"/>
              <a:cs typeface="Helvetica" panose="020B0604020202020204" pitchFamily="34" charset="0"/>
            </a:rPr>
            <a:t> se desea buscar Financiamiento con una Institución Regulada, se debe cubrir el 100% de este pago directamente al IMSS.</a:t>
          </a:r>
          <a:endParaRPr lang="en-US" sz="1200" b="0"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0</xdr:col>
      <xdr:colOff>201688</xdr:colOff>
      <xdr:row>12</xdr:row>
      <xdr:rowOff>60422</xdr:rowOff>
    </xdr:from>
    <xdr:to>
      <xdr:col>2</xdr:col>
      <xdr:colOff>2891039</xdr:colOff>
      <xdr:row>29</xdr:row>
      <xdr:rowOff>160986</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163871</xdr:colOff>
      <xdr:row>12</xdr:row>
      <xdr:rowOff>61452</xdr:rowOff>
    </xdr:from>
    <xdr:to>
      <xdr:col>5</xdr:col>
      <xdr:colOff>2911162</xdr:colOff>
      <xdr:row>29</xdr:row>
      <xdr:rowOff>140863</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2253932</xdr:colOff>
      <xdr:row>14</xdr:row>
      <xdr:rowOff>268912</xdr:rowOff>
    </xdr:from>
    <xdr:to>
      <xdr:col>2</xdr:col>
      <xdr:colOff>381219</xdr:colOff>
      <xdr:row>17</xdr:row>
      <xdr:rowOff>125388</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3" cstate="print">
          <a:alphaModFix amt="20000"/>
          <a:extLst>
            <a:ext uri="{28A0092B-C50C-407E-A947-70E740481C1C}">
              <a14:useLocalDpi xmlns:a14="http://schemas.microsoft.com/office/drawing/2010/main" val="0"/>
            </a:ext>
          </a:extLst>
        </a:blip>
        <a:stretch>
          <a:fillRect/>
        </a:stretch>
      </xdr:blipFill>
      <xdr:spPr>
        <a:xfrm>
          <a:off x="2465599" y="6167970"/>
          <a:ext cx="1790040" cy="776766"/>
        </a:xfrm>
        <a:prstGeom prst="rect">
          <a:avLst/>
        </a:prstGeom>
      </xdr:spPr>
    </xdr:pic>
    <xdr:clientData/>
  </xdr:twoCellAnchor>
  <xdr:twoCellAnchor editAs="oneCell">
    <xdr:from>
      <xdr:col>4</xdr:col>
      <xdr:colOff>2277023</xdr:colOff>
      <xdr:row>14</xdr:row>
      <xdr:rowOff>264552</xdr:rowOff>
    </xdr:from>
    <xdr:to>
      <xdr:col>5</xdr:col>
      <xdr:colOff>404310</xdr:colOff>
      <xdr:row>17</xdr:row>
      <xdr:rowOff>121028</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3" cstate="print">
          <a:alphaModFix amt="20000"/>
          <a:extLst>
            <a:ext uri="{28A0092B-C50C-407E-A947-70E740481C1C}">
              <a14:useLocalDpi xmlns:a14="http://schemas.microsoft.com/office/drawing/2010/main" val="0"/>
            </a:ext>
          </a:extLst>
        </a:blip>
        <a:stretch>
          <a:fillRect/>
        </a:stretch>
      </xdr:blipFill>
      <xdr:spPr>
        <a:xfrm>
          <a:off x="9059559" y="6163610"/>
          <a:ext cx="1790041" cy="776766"/>
        </a:xfrm>
        <a:prstGeom prst="rect">
          <a:avLst/>
        </a:prstGeom>
      </xdr:spPr>
    </xdr:pic>
    <xdr:clientData/>
  </xdr:twoCellAnchor>
  <xdr:twoCellAnchor editAs="oneCell">
    <xdr:from>
      <xdr:col>2</xdr:col>
      <xdr:colOff>2101580</xdr:colOff>
      <xdr:row>40</xdr:row>
      <xdr:rowOff>27608</xdr:rowOff>
    </xdr:from>
    <xdr:to>
      <xdr:col>2</xdr:col>
      <xdr:colOff>2715581</xdr:colOff>
      <xdr:row>41</xdr:row>
      <xdr:rowOff>1328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76000" y="11255144"/>
          <a:ext cx="614001" cy="590319"/>
        </a:xfrm>
        <a:prstGeom prst="rect">
          <a:avLst/>
        </a:prstGeom>
      </xdr:spPr>
    </xdr:pic>
    <xdr:clientData/>
  </xdr:twoCellAnchor>
  <xdr:twoCellAnchor editAs="oneCell">
    <xdr:from>
      <xdr:col>5</xdr:col>
      <xdr:colOff>2088328</xdr:colOff>
      <xdr:row>40</xdr:row>
      <xdr:rowOff>5153</xdr:rowOff>
    </xdr:from>
    <xdr:to>
      <xdr:col>5</xdr:col>
      <xdr:colOff>2702329</xdr:colOff>
      <xdr:row>40</xdr:row>
      <xdr:rowOff>595472</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533618" y="11232689"/>
          <a:ext cx="614001" cy="5903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2191775</xdr:colOff>
      <xdr:row>9</xdr:row>
      <xdr:rowOff>0</xdr:rowOff>
    </xdr:from>
    <xdr:to>
      <xdr:col>5</xdr:col>
      <xdr:colOff>2805776</xdr:colOff>
      <xdr:row>9</xdr:row>
      <xdr:rowOff>590319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92904" y="8552016"/>
          <a:ext cx="614001" cy="5903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2204157</xdr:colOff>
      <xdr:row>8</xdr:row>
      <xdr:rowOff>306626</xdr:rowOff>
    </xdr:from>
    <xdr:to>
      <xdr:col>4</xdr:col>
      <xdr:colOff>256948</xdr:colOff>
      <xdr:row>8</xdr:row>
      <xdr:rowOff>306626</xdr:rowOff>
    </xdr:to>
    <xdr:cxnSp macro="">
      <xdr:nvCxnSpPr>
        <xdr:cNvPr id="5" name="Straight Arrow Connector 4">
          <a:extLst>
            <a:ext uri="{FF2B5EF4-FFF2-40B4-BE49-F238E27FC236}">
              <a16:creationId xmlns:a16="http://schemas.microsoft.com/office/drawing/2014/main" id="{AD3A90FA-E268-4FF0-9796-68DA9B838B7F}"/>
            </a:ext>
          </a:extLst>
        </xdr:cNvPr>
        <xdr:cNvCxnSpPr/>
      </xdr:nvCxnSpPr>
      <xdr:spPr>
        <a:xfrm>
          <a:off x="6078733" y="3979402"/>
          <a:ext cx="805356" cy="0"/>
        </a:xfrm>
        <a:prstGeom prst="straightConnector1">
          <a:avLst/>
        </a:prstGeom>
        <a:ln>
          <a:solidFill>
            <a:srgbClr val="F3BD48"/>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70858</xdr:colOff>
      <xdr:row>8</xdr:row>
      <xdr:rowOff>12633</xdr:rowOff>
    </xdr:from>
    <xdr:ext cx="3283166" cy="859210"/>
    <xdr:sp macro="" textlink="">
      <xdr:nvSpPr>
        <xdr:cNvPr id="6" name="TextBox 5">
          <a:extLst>
            <a:ext uri="{FF2B5EF4-FFF2-40B4-BE49-F238E27FC236}">
              <a16:creationId xmlns:a16="http://schemas.microsoft.com/office/drawing/2014/main" id="{C9F6AB2D-09BC-40D7-9D5F-24C681314025}"/>
            </a:ext>
          </a:extLst>
        </xdr:cNvPr>
        <xdr:cNvSpPr txBox="1"/>
      </xdr:nvSpPr>
      <xdr:spPr>
        <a:xfrm>
          <a:off x="8460687" y="3718249"/>
          <a:ext cx="3283166" cy="85921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300">
              <a:effectLst/>
              <a:latin typeface="Helvetica" panose="020B0604020202020204" pitchFamily="34" charset="0"/>
              <a:cs typeface="Helvetica" panose="020B0604020202020204" pitchFamily="34" charset="0"/>
            </a:rPr>
            <a:t>Cantidad que DEBES tener en tu AFORE para que podamos conseguirte un segundo fondeador (en caso de necesitarlo).</a:t>
          </a:r>
        </a:p>
      </xdr:txBody>
    </xdr:sp>
    <xdr:clientData/>
  </xdr:oneCellAnchor>
  <xdr:twoCellAnchor>
    <xdr:from>
      <xdr:col>2</xdr:col>
      <xdr:colOff>2157940</xdr:colOff>
      <xdr:row>13</xdr:row>
      <xdr:rowOff>388454</xdr:rowOff>
    </xdr:from>
    <xdr:to>
      <xdr:col>4</xdr:col>
      <xdr:colOff>210731</xdr:colOff>
      <xdr:row>13</xdr:row>
      <xdr:rowOff>388454</xdr:rowOff>
    </xdr:to>
    <xdr:cxnSp macro="">
      <xdr:nvCxnSpPr>
        <xdr:cNvPr id="7" name="Straight Arrow Connector 6">
          <a:extLst>
            <a:ext uri="{FF2B5EF4-FFF2-40B4-BE49-F238E27FC236}">
              <a16:creationId xmlns:a16="http://schemas.microsoft.com/office/drawing/2014/main" id="{9D777CE6-3FBC-4E13-9E7A-418A6BA1B03E}"/>
            </a:ext>
          </a:extLst>
        </xdr:cNvPr>
        <xdr:cNvCxnSpPr/>
      </xdr:nvCxnSpPr>
      <xdr:spPr>
        <a:xfrm>
          <a:off x="6032516" y="6668496"/>
          <a:ext cx="805356" cy="0"/>
        </a:xfrm>
        <a:prstGeom prst="straightConnector1">
          <a:avLst/>
        </a:prstGeom>
        <a:ln>
          <a:solidFill>
            <a:srgbClr val="F3BD48"/>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61520</xdr:colOff>
      <xdr:row>12</xdr:row>
      <xdr:rowOff>512162</xdr:rowOff>
    </xdr:from>
    <xdr:ext cx="3283166" cy="1050929"/>
    <xdr:sp macro="" textlink="">
      <xdr:nvSpPr>
        <xdr:cNvPr id="8" name="TextBox 7">
          <a:extLst>
            <a:ext uri="{FF2B5EF4-FFF2-40B4-BE49-F238E27FC236}">
              <a16:creationId xmlns:a16="http://schemas.microsoft.com/office/drawing/2014/main" id="{D706D23C-061C-45F1-A360-D9F32A5D5760}"/>
            </a:ext>
          </a:extLst>
        </xdr:cNvPr>
        <xdr:cNvSpPr txBox="1"/>
      </xdr:nvSpPr>
      <xdr:spPr>
        <a:xfrm>
          <a:off x="7235996" y="6188756"/>
          <a:ext cx="3283166" cy="1050929"/>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300">
              <a:effectLst/>
              <a:latin typeface="Helvetica" panose="020B0604020202020204" pitchFamily="34" charset="0"/>
              <a:cs typeface="Helvetica" panose="020B0604020202020204" pitchFamily="34" charset="0"/>
            </a:rPr>
            <a:t>Esta</a:t>
          </a:r>
          <a:r>
            <a:rPr lang="en-US" sz="1300" baseline="0">
              <a:effectLst/>
              <a:latin typeface="Helvetica" panose="020B0604020202020204" pitchFamily="34" charset="0"/>
              <a:cs typeface="Helvetica" panose="020B0604020202020204" pitchFamily="34" charset="0"/>
            </a:rPr>
            <a:t> cantidad se recupera vía AFORE una vez que tenemos tu resolución de pensión positiva. También se puede usar como garantía para un segundo fondeador.</a:t>
          </a:r>
          <a:endParaRPr lang="en-US" sz="1300">
            <a:effectLst/>
            <a:latin typeface="Helvetica" panose="020B0604020202020204" pitchFamily="34" charset="0"/>
            <a:cs typeface="Helvetica" panose="020B0604020202020204" pitchFamily="34" charset="0"/>
          </a:endParaRPr>
        </a:p>
      </xdr:txBody>
    </xdr:sp>
    <xdr:clientData/>
  </xdr:oneCellAnchor>
</xdr:wsDr>
</file>

<file path=xl/drawings/drawing18.xml><?xml version="1.0" encoding="utf-8"?>
<xdr:wsDr xmlns:xdr="http://schemas.openxmlformats.org/drawingml/2006/spreadsheetDrawing" xmlns:a="http://schemas.openxmlformats.org/drawingml/2006/main">
  <xdr:twoCellAnchor>
    <xdr:from>
      <xdr:col>0</xdr:col>
      <xdr:colOff>200525</xdr:colOff>
      <xdr:row>11</xdr:row>
      <xdr:rowOff>93177</xdr:rowOff>
    </xdr:from>
    <xdr:to>
      <xdr:col>6</xdr:col>
      <xdr:colOff>23811</xdr:colOff>
      <xdr:row>31</xdr:row>
      <xdr:rowOff>735081</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2188557</xdr:colOff>
      <xdr:row>43</xdr:row>
      <xdr:rowOff>61968</xdr:rowOff>
    </xdr:from>
    <xdr:to>
      <xdr:col>5</xdr:col>
      <xdr:colOff>2802558</xdr:colOff>
      <xdr:row>43</xdr:row>
      <xdr:rowOff>652287</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24026" y="15073766"/>
          <a:ext cx="614001" cy="590319"/>
        </a:xfrm>
        <a:prstGeom prst="rect">
          <a:avLst/>
        </a:prstGeom>
      </xdr:spPr>
    </xdr:pic>
    <xdr:clientData/>
  </xdr:twoCellAnchor>
</xdr:wsDr>
</file>

<file path=xl/drawings/drawing19.xml><?xml version="1.0" encoding="utf-8"?>
<c:userShapes xmlns:c="http://schemas.openxmlformats.org/drawingml/2006/chart">
  <cdr:relSizeAnchor xmlns:cdr="http://schemas.openxmlformats.org/drawingml/2006/chartDrawing">
    <cdr:from>
      <cdr:x>0.41553</cdr:x>
      <cdr:y>0.15476</cdr:y>
    </cdr:from>
    <cdr:to>
      <cdr:x>0.5884</cdr:x>
      <cdr:y>0.34492</cdr:y>
    </cdr:to>
    <cdr:pic>
      <cdr:nvPicPr>
        <cdr:cNvPr id="2" name="Picture 1">
          <a:extLst xmlns:a="http://schemas.openxmlformats.org/drawingml/2006/main">
            <a:ext uri="{FF2B5EF4-FFF2-40B4-BE49-F238E27FC236}">
              <a16:creationId xmlns:a16="http://schemas.microsoft.com/office/drawing/2014/main" id="{35DF9611-D645-4FCA-B0AC-DCE130DE76C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alphaModFix amt="20000"/>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5453870" y="797204"/>
          <a:ext cx="2268862" cy="979503"/>
        </a:xfrm>
        <a:prstGeom xmlns:a="http://schemas.openxmlformats.org/drawingml/2006/main" prst="rect">
          <a:avLst/>
        </a:prstGeom>
      </cdr:spPr>
    </cdr:pic>
  </cdr:relSizeAnchor>
</c:userShapes>
</file>

<file path=xl/drawings/drawing20.xml><?xml version="1.0" encoding="utf-8"?>
<xdr:wsDr xmlns:xdr="http://schemas.openxmlformats.org/drawingml/2006/spreadsheetDrawing" xmlns:a="http://schemas.openxmlformats.org/drawingml/2006/main">
  <xdr:twoCellAnchor editAs="oneCell">
    <xdr:from>
      <xdr:col>6</xdr:col>
      <xdr:colOff>0</xdr:colOff>
      <xdr:row>48</xdr:row>
      <xdr:rowOff>0</xdr:rowOff>
    </xdr:from>
    <xdr:to>
      <xdr:col>7</xdr:col>
      <xdr:colOff>331091</xdr:colOff>
      <xdr:row>49</xdr:row>
      <xdr:rowOff>67788</xdr:rowOff>
    </xdr:to>
    <xdr:pic>
      <xdr:nvPicPr>
        <xdr:cNvPr id="2" name="Picture 4">
          <a:extLst>
            <a:ext uri="{FF2B5EF4-FFF2-40B4-BE49-F238E27FC236}">
              <a16:creationId xmlns:a16="http://schemas.microsoft.com/office/drawing/2014/main" id="{B6BAE1D2-92F7-4B26-9696-44DC01254498}"/>
            </a:ext>
          </a:extLst>
        </xdr:cNvPr>
        <xdr:cNvPicPr>
          <a:picLocks noChangeAspect="1"/>
        </xdr:cNvPicPr>
      </xdr:nvPicPr>
      <xdr:blipFill>
        <a:blip xmlns:r="http://schemas.openxmlformats.org/officeDocument/2006/relationships" r:embed="rId1" cstate="print">
          <a:alphaModFix amt="35000"/>
          <a:extLst>
            <a:ext uri="{28A0092B-C50C-407E-A947-70E740481C1C}">
              <a14:useLocalDpi xmlns:a14="http://schemas.microsoft.com/office/drawing/2010/main" val="0"/>
            </a:ext>
          </a:extLst>
        </a:blip>
        <a:stretch>
          <a:fillRect/>
        </a:stretch>
      </xdr:blipFill>
      <xdr:spPr>
        <a:xfrm>
          <a:off x="4986194" y="12721648"/>
          <a:ext cx="1067114" cy="486310"/>
        </a:xfrm>
        <a:prstGeom prst="rect">
          <a:avLst/>
        </a:prstGeom>
      </xdr:spPr>
    </xdr:pic>
    <xdr:clientData/>
  </xdr:twoCellAnchor>
  <xdr:twoCellAnchor editAs="oneCell">
    <xdr:from>
      <xdr:col>5</xdr:col>
      <xdr:colOff>46259</xdr:colOff>
      <xdr:row>11</xdr:row>
      <xdr:rowOff>115454</xdr:rowOff>
    </xdr:from>
    <xdr:to>
      <xdr:col>7</xdr:col>
      <xdr:colOff>711792</xdr:colOff>
      <xdr:row>15</xdr:row>
      <xdr:rowOff>108237</xdr:rowOff>
    </xdr:to>
    <xdr:pic>
      <xdr:nvPicPr>
        <xdr:cNvPr id="3" name="Picture 4">
          <a:extLst>
            <a:ext uri="{FF2B5EF4-FFF2-40B4-BE49-F238E27FC236}">
              <a16:creationId xmlns:a16="http://schemas.microsoft.com/office/drawing/2014/main" id="{2528E5D2-E7A5-4CC5-95E1-340285F6096E}"/>
            </a:ext>
          </a:extLst>
        </xdr:cNvPr>
        <xdr:cNvPicPr>
          <a:picLocks noChangeAspect="1"/>
        </xdr:cNvPicPr>
      </xdr:nvPicPr>
      <xdr:blipFill>
        <a:blip xmlns:r="http://schemas.openxmlformats.org/officeDocument/2006/relationships" r:embed="rId1" cstate="print">
          <a:alphaModFix amt="5000"/>
          <a:extLst>
            <a:ext uri="{28A0092B-C50C-407E-A947-70E740481C1C}">
              <a14:useLocalDpi xmlns:a14="http://schemas.microsoft.com/office/drawing/2010/main" val="0"/>
            </a:ext>
          </a:extLst>
        </a:blip>
        <a:stretch>
          <a:fillRect/>
        </a:stretch>
      </xdr:blipFill>
      <xdr:spPr>
        <a:xfrm>
          <a:off x="4296430" y="3023466"/>
          <a:ext cx="2137579" cy="9741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7311e6030f4c7ed8/CARPETA%20DANI%20-%20ELI/PAQUETES%202025/599/CALCULADORA%20PENSION%201973%20TPR%20vPRO.15.4.xlsm" TargetMode="External"/><Relationship Id="rId1" Type="http://schemas.openxmlformats.org/officeDocument/2006/relationships/externalLinkPath" Target="https://d.docs.live.net/Users/alara/Downloads/CALCULADORA%20PENSION%201973%20TPR%20vPRO.1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AL. PROM. 250 SEM"/>
      <sheetName val="DATOS GEN."/>
      <sheetName val="FACT. + ASIG."/>
      <sheetName val="PENSIÓN LEY 73"/>
      <sheetName val="SAL. PROM MOD 40"/>
      <sheetName val="DATOS GEN. MOD 40"/>
      <sheetName val="FACT. + ASIG. MOD.40"/>
      <sheetName val="PENSION MOD. 40"/>
      <sheetName val="COSTO MOD. 40"/>
      <sheetName val="INVERSION"/>
      <sheetName val="PAGO RETROACTIVO"/>
      <sheetName val="MOD 40 REC. VS RETRO."/>
      <sheetName val="FINANCIAMIENTO"/>
      <sheetName val="SEGUNDO FONDEADOR"/>
      <sheetName val="PENSIÓN SIN-CON FIN."/>
      <sheetName val="Datos-proyecto"/>
      <sheetName val="PROYECTO DE PENSIÓN"/>
      <sheetName val="INCREMENTO PENSIÓN"/>
      <sheetName val="1"/>
      <sheetName val="2"/>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5</v>
    <v>0</v>
  </rv>
</rvData>
</file>

<file path=xl/richData/rdrichvaluestructure.xml><?xml version="1.0" encoding="utf-8"?>
<rvStructures xmlns="http://schemas.microsoft.com/office/spreadsheetml/2017/richdata" count="1">
  <s t="_localImage">
    <k n="CalcOrigin" t="i"/>
    <k n="_rvRel:LocalImageIdentifier"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a:noFill/>
        </a:ln>
      </a:spPr>
      <a:bodyPr vertOverflow="clip" horzOverflow="clip" wrap="none" rtlCol="0" anchor="t">
        <a:spAutoFit/>
      </a:bodyPr>
      <a:lstStyle>
        <a:defPPr algn="l">
          <a:defRPr sz="700" b="0" i="0">
            <a:ln>
              <a:noFill/>
            </a:ln>
            <a:solidFill>
              <a:schemeClr val="bg1"/>
            </a:solidFill>
            <a:latin typeface="Arial Rounded MT Bold" panose="020F0704030504030204" pitchFamily="34" charset="0"/>
          </a:defRPr>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youtu.be/u1c0uzzWx-E" TargetMode="External"/><Relationship Id="rId1" Type="http://schemas.openxmlformats.org/officeDocument/2006/relationships/hyperlink" Target="https://w.app/tuplanderetiro" TargetMode="Externa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a.link/ix6fiu" TargetMode="External"/><Relationship Id="rId1" Type="http://schemas.openxmlformats.org/officeDocument/2006/relationships/hyperlink" Target="https://bit.ly/Financiamiento_M40"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bit.ly/Financiamiento_M40"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hyperlink" Target="https://bit.ly/Financiamiento_M40"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7B9-92B5-4173-ADBD-492341AD3233}">
  <sheetPr codeName="Sheet3">
    <tabColor rgb="FFF3BD48"/>
    <pageSetUpPr autoPageBreaks="0"/>
  </sheetPr>
  <dimension ref="A1:H478"/>
  <sheetViews>
    <sheetView showGridLines="0" zoomScale="52" zoomScaleNormal="55" zoomScalePageLayoutView="62" workbookViewId="0">
      <selection activeCell="N7" sqref="N7"/>
    </sheetView>
  </sheetViews>
  <sheetFormatPr baseColWidth="10" defaultColWidth="10.5546875" defaultRowHeight="15" customHeight="1" zeroHeight="1"/>
  <cols>
    <col min="1" max="1" width="1.5546875" style="730" customWidth="1"/>
    <col min="2" max="3" width="27.77734375" style="730" customWidth="1"/>
    <col min="4" max="5" width="26" style="730" customWidth="1"/>
    <col min="6" max="6" width="2.5546875" style="730" customWidth="1"/>
    <col min="7" max="7" width="47.77734375" style="732" customWidth="1"/>
    <col min="8" max="16384" width="10.5546875" style="730"/>
  </cols>
  <sheetData>
    <row r="1" spans="1:8" ht="7.95" customHeight="1" thickBot="1">
      <c r="A1"/>
      <c r="B1"/>
      <c r="C1"/>
      <c r="D1"/>
      <c r="E1"/>
      <c r="G1" s="731"/>
    </row>
    <row r="2" spans="1:8" ht="31.05" customHeight="1" thickBot="1">
      <c r="A2"/>
      <c r="B2" s="756" t="s">
        <v>448</v>
      </c>
      <c r="C2" s="757"/>
      <c r="D2" s="757"/>
      <c r="E2" s="758"/>
    </row>
    <row r="3" spans="1:8" s="734" customFormat="1" ht="28.05" customHeight="1">
      <c r="A3" s="733"/>
      <c r="B3" s="759" t="s">
        <v>449</v>
      </c>
      <c r="C3" s="760"/>
      <c r="D3" s="760"/>
      <c r="E3" s="761"/>
      <c r="G3" s="735" t="s">
        <v>450</v>
      </c>
    </row>
    <row r="4" spans="1:8" s="737" customFormat="1" ht="259.5" customHeight="1">
      <c r="A4" s="736"/>
      <c r="B4" s="762" t="s">
        <v>451</v>
      </c>
      <c r="C4" s="763"/>
      <c r="D4" s="763"/>
      <c r="E4" s="764"/>
      <c r="G4" s="738" t="s">
        <v>463</v>
      </c>
    </row>
    <row r="5" spans="1:8" s="737" customFormat="1" ht="43.2" customHeight="1">
      <c r="A5" s="736"/>
      <c r="B5" s="765" t="s">
        <v>452</v>
      </c>
      <c r="C5" s="766"/>
      <c r="D5" s="767" t="s">
        <v>453</v>
      </c>
      <c r="E5" s="768"/>
      <c r="G5" s="738"/>
    </row>
    <row r="6" spans="1:8" s="739" customFormat="1" ht="28.05" customHeight="1">
      <c r="B6" s="753" t="s">
        <v>454</v>
      </c>
      <c r="C6" s="754"/>
      <c r="D6" s="754"/>
      <c r="E6" s="755"/>
      <c r="F6" s="740"/>
      <c r="G6" s="741"/>
    </row>
    <row r="7" spans="1:8" s="739" customFormat="1" ht="183.75" customHeight="1">
      <c r="B7" s="769" t="s">
        <v>464</v>
      </c>
      <c r="C7" s="770"/>
      <c r="D7" s="770"/>
      <c r="E7" s="771"/>
      <c r="F7" s="740"/>
      <c r="G7" s="742" t="s">
        <v>455</v>
      </c>
    </row>
    <row r="8" spans="1:8" s="739" customFormat="1" ht="28.05" customHeight="1" thickBot="1">
      <c r="B8" s="759" t="s">
        <v>456</v>
      </c>
      <c r="C8" s="760"/>
      <c r="D8" s="760"/>
      <c r="E8" s="761"/>
      <c r="F8" s="740"/>
      <c r="G8" s="743" t="s">
        <v>457</v>
      </c>
    </row>
    <row r="9" spans="1:8" s="734" customFormat="1" ht="182.7" customHeight="1">
      <c r="B9" s="762" t="s">
        <v>458</v>
      </c>
      <c r="C9" s="763"/>
      <c r="D9" s="763"/>
      <c r="E9" s="764"/>
      <c r="F9" s="744"/>
    </row>
    <row r="10" spans="1:8" s="734" customFormat="1" ht="28.5" customHeight="1">
      <c r="B10" s="772" t="s">
        <v>459</v>
      </c>
      <c r="C10" s="763"/>
      <c r="D10" s="763"/>
      <c r="E10" s="764"/>
      <c r="G10" s="730"/>
    </row>
    <row r="11" spans="1:8" ht="44.55" customHeight="1">
      <c r="B11" s="773" t="s">
        <v>460</v>
      </c>
      <c r="C11" s="774"/>
      <c r="D11" s="774"/>
      <c r="E11" s="775"/>
      <c r="G11" s="730"/>
      <c r="H11"/>
    </row>
    <row r="12" spans="1:8" ht="31.2" customHeight="1">
      <c r="B12" s="776" t="s">
        <v>461</v>
      </c>
      <c r="C12" s="777"/>
      <c r="D12" s="777"/>
      <c r="E12" s="778"/>
      <c r="G12" s="730"/>
      <c r="H12"/>
    </row>
    <row r="13" spans="1:8" ht="138" customHeight="1">
      <c r="B13" s="769" t="s">
        <v>462</v>
      </c>
      <c r="C13" s="770"/>
      <c r="D13" s="770"/>
      <c r="E13" s="771"/>
      <c r="G13" s="730"/>
    </row>
    <row r="14" spans="1:8" s="739" customFormat="1" ht="27.45" customHeight="1">
      <c r="G14" s="730"/>
    </row>
    <row r="15" spans="1:8" ht="170.55" customHeight="1">
      <c r="G15" s="730"/>
    </row>
    <row r="16" spans="1:8" ht="100.95" customHeight="1">
      <c r="G16" s="730"/>
    </row>
    <row r="17" spans="7:7" ht="108" customHeight="1">
      <c r="G17" s="730"/>
    </row>
    <row r="18" spans="7:7" ht="217.95" customHeight="1">
      <c r="G18" s="730"/>
    </row>
    <row r="19" spans="7:7" hidden="1">
      <c r="G19" s="730"/>
    </row>
    <row r="20" spans="7:7" hidden="1">
      <c r="G20" s="730"/>
    </row>
    <row r="21" spans="7:7" hidden="1">
      <c r="G21" s="730"/>
    </row>
    <row r="22" spans="7:7" hidden="1">
      <c r="G22" s="730"/>
    </row>
    <row r="24" spans="7:7"/>
    <row r="29" spans="7:7" ht="7.2" customHeight="1"/>
    <row r="30" spans="7:7" ht="42.75" customHeight="1"/>
    <row r="31" spans="7:7" ht="19.95" customHeight="1"/>
    <row r="32" spans="7:7"/>
    <row r="33"/>
    <row r="37"/>
    <row r="38"/>
    <row r="39"/>
    <row r="40"/>
    <row r="41"/>
    <row r="42"/>
    <row r="43"/>
    <row r="44"/>
    <row r="45"/>
    <row r="46"/>
    <row r="47"/>
    <row r="84" ht="15.75" customHeight="1"/>
    <row r="88"/>
    <row r="102"/>
    <row r="104" ht="7.95" customHeight="1"/>
    <row r="105" ht="210" customHeight="1"/>
    <row r="107" ht="10.199999999999999" customHeight="1"/>
    <row r="111" ht="11.55" customHeight="1"/>
    <row r="118" ht="9.75" customHeight="1"/>
    <row r="120" ht="19.95" customHeight="1"/>
    <row r="121"/>
    <row r="123"/>
    <row r="127"/>
    <row r="134"/>
    <row r="136"/>
    <row r="152"/>
    <row r="245"/>
    <row r="246"/>
    <row r="261" ht="17.55" customHeight="1"/>
    <row r="262" ht="17.55" customHeight="1"/>
    <row r="277"/>
    <row r="278"/>
    <row r="449"/>
    <row r="453"/>
    <row r="454"/>
    <row r="455"/>
    <row r="456"/>
    <row r="457" ht="17.55" customHeight="1"/>
    <row r="458" ht="17.55" customHeight="1"/>
    <row r="459" ht="17.55" customHeight="1"/>
    <row r="460" ht="17.55" customHeight="1"/>
    <row r="461" ht="17.55" customHeight="1"/>
    <row r="462" ht="17.55" customHeight="1"/>
    <row r="463" ht="17.55" customHeight="1"/>
    <row r="464" ht="17.55" customHeight="1"/>
    <row r="465" ht="17.55" customHeight="1"/>
    <row r="466"/>
    <row r="467"/>
    <row r="468"/>
    <row r="469"/>
    <row r="470"/>
    <row r="471"/>
    <row r="472"/>
    <row r="473"/>
    <row r="474"/>
    <row r="475"/>
    <row r="476"/>
    <row r="477"/>
    <row r="478"/>
  </sheetData>
  <sheetProtection algorithmName="SHA-512" hashValue="qrdRoK3Tv8Fw1b30U4b51uMkgeq/PqLxRjP0MfzJgpSTA1uuc0wO63OmxIsjLs56coISRCrJbDusROdpsLmyFA==" saltValue="8qI6l4lZ64qhRZV7++rU5w==" spinCount="100000" sheet="1" objects="1" scenarios="1"/>
  <mergeCells count="13">
    <mergeCell ref="B13:E13"/>
    <mergeCell ref="B7:E7"/>
    <mergeCell ref="B8:E8"/>
    <mergeCell ref="B9:E9"/>
    <mergeCell ref="B10:E10"/>
    <mergeCell ref="B11:E11"/>
    <mergeCell ref="B12:E12"/>
    <mergeCell ref="B6:E6"/>
    <mergeCell ref="B2:E2"/>
    <mergeCell ref="B3:E3"/>
    <mergeCell ref="B4:E4"/>
    <mergeCell ref="B5:C5"/>
    <mergeCell ref="D5:E5"/>
  </mergeCells>
  <hyperlinks>
    <hyperlink ref="G7" r:id="rId1" display="Puedes ESCANEAR este código QR con tu celular o dar Clic a este ENLACE para mandarnos un mensaje directo._x000a__x000a__x000a__x000a__x000a__x000a__x000a__x000a_" xr:uid="{0C3C2EF3-D954-4149-B05A-99F474846E56}"/>
    <hyperlink ref="D5" r:id="rId2" xr:uid="{1935C7DA-3F7A-4774-A5EB-21E52430594A}"/>
  </hyperlinks>
  <pageMargins left="0.75" right="0.75" top="1" bottom="1" header="0.5" footer="0.5"/>
  <pageSetup scale="51" orientation="portrait" horizontalDpi="300" r:id="rId3"/>
  <headerFooter alignWithMargins="0">
    <oddHeader xml:space="preserve">&amp;C&amp;G
</oddHeader>
  </headerFooter>
  <drawing r:id="rId4"/>
  <legacyDrawingHF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D2EC-9A32-40AC-A81B-0C9692D63114}">
  <sheetPr codeName="Hoja14">
    <tabColor rgb="FF025C67"/>
  </sheetPr>
  <dimension ref="A1:J25"/>
  <sheetViews>
    <sheetView showGridLines="0" showWhiteSpace="0" topLeftCell="A5" zoomScale="60" zoomScaleNormal="75" zoomScaleSheetLayoutView="54" zoomScalePageLayoutView="60" workbookViewId="0">
      <selection activeCell="M13" sqref="M13"/>
    </sheetView>
  </sheetViews>
  <sheetFormatPr baseColWidth="10" defaultColWidth="11.5546875" defaultRowHeight="14.4"/>
  <cols>
    <col min="1" max="1" width="9.21875" style="505" customWidth="1"/>
    <col min="2" max="2" width="9.5546875" style="38" customWidth="1"/>
    <col min="3" max="3" width="10.5546875" style="38" customWidth="1"/>
    <col min="4" max="4" width="10.5546875" style="505" customWidth="1"/>
    <col min="5" max="5" width="9.109375" style="38" customWidth="1"/>
    <col min="6" max="6" width="1.77734375" style="38" customWidth="1"/>
    <col min="7" max="8" width="8.88671875" style="38" customWidth="1"/>
    <col min="9" max="9" width="9.5546875" style="38" customWidth="1"/>
    <col min="10" max="10" width="9.21875" style="38" customWidth="1"/>
    <col min="11" max="16384" width="11.5546875" style="38"/>
  </cols>
  <sheetData>
    <row r="1" spans="1:10" ht="29.4" customHeight="1">
      <c r="A1" s="6"/>
      <c r="B1" s="6"/>
      <c r="C1" s="6"/>
      <c r="I1" s="622"/>
      <c r="J1" s="624"/>
    </row>
    <row r="2" spans="1:10" ht="29.4" customHeight="1">
      <c r="A2" s="447"/>
      <c r="B2" s="6"/>
      <c r="C2" s="6"/>
      <c r="D2" s="38"/>
      <c r="F2" s="6"/>
      <c r="J2" s="623"/>
    </row>
    <row r="3" spans="1:10" ht="24.9" customHeight="1">
      <c r="A3" s="447"/>
      <c r="B3" s="6"/>
      <c r="C3" s="6"/>
      <c r="D3" s="6"/>
      <c r="E3" s="6"/>
      <c r="F3" s="6"/>
      <c r="G3" s="6"/>
      <c r="H3" s="6"/>
      <c r="I3" s="6"/>
      <c r="J3" s="447"/>
    </row>
    <row r="4" spans="1:10" ht="24.9" customHeight="1">
      <c r="A4" s="447"/>
      <c r="B4" s="6"/>
      <c r="C4" s="6"/>
      <c r="D4" s="6"/>
      <c r="E4" s="6"/>
      <c r="F4" s="6"/>
      <c r="G4" s="6"/>
      <c r="H4" s="6"/>
      <c r="I4" s="6"/>
      <c r="J4" s="447"/>
    </row>
    <row r="5" spans="1:10" ht="24.9" customHeight="1">
      <c r="A5" s="447"/>
      <c r="B5" s="6"/>
      <c r="C5" s="6"/>
      <c r="D5" s="447"/>
      <c r="E5" s="6"/>
      <c r="F5" s="6"/>
      <c r="G5" s="6"/>
      <c r="H5" s="6"/>
      <c r="I5" s="6"/>
      <c r="J5" s="6"/>
    </row>
    <row r="6" spans="1:10" ht="37.200000000000003" customHeight="1">
      <c r="A6" s="631"/>
      <c r="B6" s="629"/>
      <c r="C6" s="629"/>
      <c r="D6" s="628"/>
      <c r="E6" s="636"/>
      <c r="F6" s="636"/>
      <c r="G6" s="636"/>
      <c r="H6" s="630"/>
    </row>
    <row r="7" spans="1:10" ht="64.95" customHeight="1">
      <c r="A7" s="632"/>
      <c r="B7" s="615"/>
      <c r="C7" s="615"/>
      <c r="D7" s="635"/>
      <c r="E7" s="780" t="e" vm="1">
        <v>#VALUE!</v>
      </c>
      <c r="F7" s="780"/>
      <c r="G7" s="780"/>
      <c r="H7" s="780"/>
      <c r="I7" s="780"/>
      <c r="J7" s="780"/>
    </row>
    <row r="8" spans="1:10" ht="64.95" customHeight="1">
      <c r="A8" s="632"/>
      <c r="B8" s="615"/>
      <c r="C8" s="615"/>
      <c r="D8" s="635"/>
      <c r="E8" s="780"/>
      <c r="F8" s="780"/>
      <c r="G8" s="780"/>
      <c r="H8" s="780"/>
      <c r="I8" s="780"/>
      <c r="J8" s="780"/>
    </row>
    <row r="9" spans="1:10" ht="27" customHeight="1">
      <c r="A9" s="632"/>
      <c r="B9" s="615"/>
      <c r="C9" s="615"/>
      <c r="D9" s="614"/>
      <c r="E9" s="636"/>
      <c r="F9" s="6"/>
      <c r="I9" s="6"/>
      <c r="J9" s="6"/>
    </row>
    <row r="10" spans="1:10" ht="9.4499999999999993" customHeight="1">
      <c r="A10" s="632"/>
      <c r="B10" s="615"/>
      <c r="C10" s="615"/>
      <c r="D10" s="635"/>
      <c r="E10" s="616"/>
      <c r="F10" s="616"/>
      <c r="G10" s="616"/>
      <c r="H10" s="616"/>
      <c r="I10" s="616"/>
      <c r="J10" s="616"/>
    </row>
    <row r="11" spans="1:10" ht="24.9" customHeight="1">
      <c r="A11" s="632"/>
      <c r="B11" s="615"/>
      <c r="C11" s="615"/>
      <c r="D11" s="635"/>
      <c r="E11" s="617"/>
      <c r="F11" s="619"/>
      <c r="G11" s="784"/>
      <c r="H11" s="784"/>
      <c r="I11" s="784"/>
      <c r="J11" s="784"/>
    </row>
    <row r="12" spans="1:10" ht="9.4499999999999993" customHeight="1">
      <c r="A12" s="632"/>
      <c r="B12" s="615"/>
      <c r="C12" s="615"/>
      <c r="D12" s="635"/>
      <c r="E12" s="616"/>
      <c r="F12" s="616"/>
      <c r="G12" s="616"/>
      <c r="H12" s="616"/>
      <c r="I12" s="616"/>
      <c r="J12" s="616"/>
    </row>
    <row r="13" spans="1:10" ht="18.45" customHeight="1">
      <c r="A13" s="632"/>
      <c r="B13" s="615"/>
      <c r="C13" s="615"/>
      <c r="D13" s="635"/>
      <c r="E13" s="617"/>
      <c r="F13" s="617"/>
      <c r="G13" s="781" t="s">
        <v>431</v>
      </c>
      <c r="H13" s="781"/>
      <c r="I13" s="781"/>
      <c r="J13" s="781"/>
    </row>
    <row r="14" spans="1:10" ht="20.7" customHeight="1">
      <c r="A14" s="632"/>
      <c r="B14" s="615"/>
      <c r="C14" s="615"/>
      <c r="D14" s="635"/>
      <c r="E14" s="617"/>
      <c r="F14" s="617"/>
      <c r="G14" s="782" t="str">
        <f>+'DATOS GEN.'!E3</f>
        <v>ESCOBAR LOPEZ LUIS ADAN</v>
      </c>
      <c r="H14" s="782"/>
      <c r="I14" s="782"/>
      <c r="J14" s="782"/>
    </row>
    <row r="15" spans="1:10" ht="12" customHeight="1">
      <c r="A15" s="632"/>
      <c r="B15" s="615"/>
      <c r="C15" s="615"/>
      <c r="D15" s="635"/>
      <c r="E15" s="617"/>
      <c r="F15" s="617"/>
      <c r="G15" s="618"/>
      <c r="H15" s="618"/>
      <c r="I15" s="618"/>
      <c r="J15" s="618"/>
    </row>
    <row r="16" spans="1:10" ht="18.45" customHeight="1">
      <c r="A16" s="632"/>
      <c r="B16" s="615"/>
      <c r="C16" s="615"/>
      <c r="D16" s="635"/>
      <c r="E16" s="617"/>
      <c r="F16" s="617"/>
      <c r="G16" s="781" t="s">
        <v>432</v>
      </c>
      <c r="H16" s="781"/>
      <c r="I16" s="781"/>
      <c r="J16" s="781"/>
    </row>
    <row r="17" spans="1:10" ht="20.7" customHeight="1">
      <c r="A17" s="632"/>
      <c r="B17" s="615"/>
      <c r="C17" s="615"/>
      <c r="D17" s="635"/>
      <c r="E17" s="617"/>
      <c r="F17" s="617"/>
      <c r="G17" s="783">
        <v>45985</v>
      </c>
      <c r="H17" s="782"/>
      <c r="I17" s="782"/>
      <c r="J17" s="782"/>
    </row>
    <row r="18" spans="1:10" ht="9.4499999999999993" customHeight="1">
      <c r="A18" s="632"/>
      <c r="B18" s="615"/>
      <c r="C18" s="615"/>
      <c r="D18" s="635"/>
      <c r="E18" s="616"/>
      <c r="F18" s="616"/>
      <c r="G18" s="616"/>
      <c r="H18" s="616"/>
      <c r="I18" s="616"/>
      <c r="J18" s="616"/>
    </row>
    <row r="19" spans="1:10" ht="37.200000000000003" customHeight="1">
      <c r="A19" s="632"/>
      <c r="B19" s="615"/>
      <c r="C19" s="615"/>
      <c r="D19" s="614"/>
      <c r="E19" s="629"/>
      <c r="F19" s="629"/>
      <c r="G19" s="629"/>
      <c r="H19" s="629"/>
      <c r="I19" s="624"/>
      <c r="J19" s="6"/>
    </row>
    <row r="20" spans="1:10" s="621" customFormat="1" ht="28.95" customHeight="1">
      <c r="A20" s="633"/>
      <c r="B20" s="779" t="s">
        <v>434</v>
      </c>
      <c r="C20" s="779"/>
      <c r="D20" s="779"/>
      <c r="E20" s="779"/>
      <c r="F20" s="779"/>
      <c r="G20" s="779"/>
      <c r="H20" s="779"/>
      <c r="I20" s="634"/>
      <c r="J20" s="448"/>
    </row>
    <row r="21" spans="1:10" ht="24.9" customHeight="1">
      <c r="A21" s="447"/>
      <c r="B21" s="6"/>
      <c r="D21" s="38"/>
    </row>
    <row r="22" spans="1:10" ht="24.9" customHeight="1">
      <c r="A22" s="447"/>
      <c r="B22" s="6"/>
      <c r="C22" s="620"/>
      <c r="D22" s="620"/>
      <c r="E22" s="620"/>
      <c r="F22" s="620"/>
      <c r="G22" s="620"/>
      <c r="H22" s="620"/>
    </row>
    <row r="23" spans="1:10" ht="24.9" customHeight="1">
      <c r="A23" s="447"/>
      <c r="B23" s="6"/>
      <c r="C23" s="620"/>
      <c r="D23" s="620"/>
      <c r="E23" s="620"/>
      <c r="F23" s="620"/>
      <c r="G23" s="620"/>
      <c r="H23" s="620"/>
      <c r="I23" s="6"/>
      <c r="J23" s="6"/>
    </row>
    <row r="24" spans="1:10" ht="29.4" customHeight="1">
      <c r="A24" s="626"/>
      <c r="B24" s="6"/>
      <c r="C24" s="620"/>
      <c r="D24" s="620"/>
      <c r="E24" s="620"/>
      <c r="F24" s="620"/>
      <c r="G24" s="620"/>
      <c r="H24" s="620"/>
      <c r="I24" s="6"/>
      <c r="J24" s="6"/>
    </row>
    <row r="25" spans="1:10" ht="29.4" customHeight="1">
      <c r="A25" s="625"/>
      <c r="B25" s="627"/>
      <c r="C25" s="620"/>
      <c r="D25" s="620"/>
      <c r="E25" s="620"/>
      <c r="F25" s="620"/>
      <c r="G25" s="620"/>
      <c r="H25" s="620"/>
      <c r="I25" s="620"/>
      <c r="J25" s="6"/>
    </row>
  </sheetData>
  <mergeCells count="7">
    <mergeCell ref="B20:H20"/>
    <mergeCell ref="E7:J8"/>
    <mergeCell ref="G13:J13"/>
    <mergeCell ref="G14:J14"/>
    <mergeCell ref="G16:J16"/>
    <mergeCell ref="G17:J17"/>
    <mergeCell ref="G11:J11"/>
  </mergeCells>
  <pageMargins left="0.7" right="0.7" top="0.75" bottom="0.75" header="0.3" footer="0.3"/>
  <pageSetup paperSize="194"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E98D1-1785-4D97-9FE3-7187E15FCC0A}">
  <sheetPr codeName="Hoja6">
    <tabColor rgb="FF025C67"/>
    <outlinePr showOutlineSymbols="0"/>
    <pageSetUpPr fitToPage="1"/>
  </sheetPr>
  <dimension ref="A1:K138"/>
  <sheetViews>
    <sheetView showGridLines="0" showOutlineSymbols="0" zoomScale="90" zoomScaleNormal="89" zoomScaleSheetLayoutView="44" zoomScalePageLayoutView="89" workbookViewId="0">
      <selection activeCell="E16" sqref="E16"/>
    </sheetView>
  </sheetViews>
  <sheetFormatPr baseColWidth="10" defaultColWidth="11" defaultRowHeight="10.199999999999999" outlineLevelRow="1"/>
  <cols>
    <col min="1" max="1" width="5.77734375" style="368" customWidth="1"/>
    <col min="2" max="2" width="15.88671875" style="560" customWidth="1"/>
    <col min="3" max="3" width="15.88671875" style="561" customWidth="1"/>
    <col min="4" max="4" width="19.5546875" style="368" customWidth="1"/>
    <col min="5" max="5" width="15.88671875" style="368" customWidth="1"/>
    <col min="6" max="6" width="15.88671875" style="562" customWidth="1"/>
    <col min="7" max="7" width="5.77734375" style="368" customWidth="1"/>
    <col min="8" max="8" width="5.5546875" style="368" customWidth="1"/>
    <col min="9" max="16384" width="11" style="368"/>
  </cols>
  <sheetData>
    <row r="1" spans="1:11" ht="43.2" customHeight="1">
      <c r="B1" s="787" t="s">
        <v>427</v>
      </c>
      <c r="C1" s="787"/>
      <c r="D1" s="787"/>
      <c r="E1" s="787"/>
      <c r="F1" s="787"/>
      <c r="G1" s="557"/>
      <c r="H1" s="558"/>
      <c r="I1" s="558"/>
      <c r="J1" s="558"/>
      <c r="K1" s="558"/>
    </row>
    <row r="2" spans="1:11" ht="60.45" customHeight="1">
      <c r="A2" s="785" t="s">
        <v>428</v>
      </c>
      <c r="B2" s="785"/>
      <c r="C2" s="785"/>
      <c r="D2" s="785"/>
      <c r="E2" s="785"/>
      <c r="F2" s="785"/>
      <c r="G2" s="785"/>
      <c r="H2" s="558"/>
      <c r="I2" s="558"/>
      <c r="J2" s="558"/>
      <c r="K2" s="558"/>
    </row>
    <row r="3" spans="1:11" ht="40.5" customHeight="1">
      <c r="A3" s="785" t="s">
        <v>424</v>
      </c>
      <c r="B3" s="785"/>
      <c r="C3" s="785"/>
      <c r="D3" s="785"/>
      <c r="E3" s="785"/>
      <c r="F3" s="785"/>
      <c r="G3" s="785"/>
    </row>
    <row r="4" spans="1:11" ht="11.25" customHeight="1">
      <c r="B4" s="786"/>
      <c r="C4" s="786"/>
      <c r="D4" s="786"/>
      <c r="E4" s="786"/>
      <c r="F4" s="786"/>
      <c r="G4" s="786"/>
    </row>
    <row r="5" spans="1:11" ht="4.5" customHeight="1">
      <c r="B5" s="796"/>
      <c r="C5" s="796"/>
      <c r="D5" s="796"/>
      <c r="E5" s="559"/>
      <c r="F5" s="559"/>
    </row>
    <row r="6" spans="1:11" ht="35.4" customHeight="1">
      <c r="B6" s="794" t="s">
        <v>425</v>
      </c>
      <c r="C6" s="795"/>
      <c r="D6" s="599">
        <f>+SUBTOTAL(9,F11:F123)/250</f>
        <v>2281.5311428571431</v>
      </c>
      <c r="F6" s="368"/>
    </row>
    <row r="7" spans="1:11" ht="24.9" customHeight="1">
      <c r="B7" s="792" t="s">
        <v>375</v>
      </c>
      <c r="C7" s="793"/>
      <c r="D7" s="600">
        <f>SUM(E11:E123)</f>
        <v>250</v>
      </c>
      <c r="F7" s="368"/>
    </row>
    <row r="8" spans="1:11" ht="7.95" customHeight="1"/>
    <row r="9" spans="1:11" ht="25.95" customHeight="1">
      <c r="B9" s="788" t="s">
        <v>374</v>
      </c>
      <c r="C9" s="789"/>
      <c r="D9" s="789"/>
      <c r="E9" s="790" t="s">
        <v>347</v>
      </c>
      <c r="F9" s="791"/>
    </row>
    <row r="10" spans="1:11" ht="34.5" customHeight="1">
      <c r="B10" s="564" t="s">
        <v>344</v>
      </c>
      <c r="C10" s="565" t="s">
        <v>345</v>
      </c>
      <c r="D10" s="566" t="s">
        <v>341</v>
      </c>
      <c r="E10" s="567" t="s">
        <v>420</v>
      </c>
      <c r="F10" s="568" t="s">
        <v>346</v>
      </c>
    </row>
    <row r="11" spans="1:11" ht="21.45" customHeight="1">
      <c r="B11" s="569">
        <v>46054</v>
      </c>
      <c r="C11" s="570">
        <v>46063</v>
      </c>
      <c r="D11" s="571">
        <v>2932.75</v>
      </c>
      <c r="E11" s="572">
        <f>DATEDIF(B11,C11,"d")/7+1/7</f>
        <v>1.4285714285714286</v>
      </c>
      <c r="F11" s="573">
        <f>E11*D11</f>
        <v>4189.6428571428569</v>
      </c>
      <c r="G11" s="563"/>
    </row>
    <row r="12" spans="1:11" ht="21.45" customHeight="1">
      <c r="B12" s="574">
        <v>45689</v>
      </c>
      <c r="C12" s="575">
        <v>46054</v>
      </c>
      <c r="D12" s="576">
        <v>2714.25</v>
      </c>
      <c r="E12" s="577">
        <f>IF((C12-B12)/7+1/7+SUM($E$11)&gt;250,(250-SUM($E$11)), ((C12-B12)/7)+1/7)</f>
        <v>52.285714285714292</v>
      </c>
      <c r="F12" s="578">
        <f t="shared" ref="F12:F43" si="0">IF(E12&gt;0,E12*D12,E12*D11)</f>
        <v>141916.50000000003</v>
      </c>
      <c r="G12" s="563"/>
    </row>
    <row r="13" spans="1:11" ht="21.45" customHeight="1">
      <c r="B13" s="574">
        <v>45323</v>
      </c>
      <c r="C13" s="575">
        <f>B12</f>
        <v>45689</v>
      </c>
      <c r="D13" s="576">
        <v>2500</v>
      </c>
      <c r="E13" s="577">
        <f>IF((C13-B13)/7+1/7+SUM($E$11:E12)&gt;250,(250-SUM($E$11:E12)), ((C13-B13)/7)+1/7)</f>
        <v>52.428571428571431</v>
      </c>
      <c r="F13" s="578">
        <f t="shared" si="0"/>
        <v>131071.42857142858</v>
      </c>
      <c r="G13" s="563"/>
    </row>
    <row r="14" spans="1:11" ht="21.45" customHeight="1">
      <c r="B14" s="574">
        <v>44958</v>
      </c>
      <c r="C14" s="575">
        <f t="shared" ref="C14:C16" si="1">B13</f>
        <v>45323</v>
      </c>
      <c r="D14" s="576">
        <v>2200</v>
      </c>
      <c r="E14" s="577">
        <f>IF((C14-B14)/7+1/7+SUM($E$11:E13)&gt;250,(250-SUM($E$11:E13)), ((C14-B14)/7)+1/7)</f>
        <v>52.285714285714292</v>
      </c>
      <c r="F14" s="578">
        <f t="shared" si="0"/>
        <v>115028.57142857143</v>
      </c>
      <c r="G14" s="563"/>
    </row>
    <row r="15" spans="1:11" ht="21.45" customHeight="1">
      <c r="B15" s="574">
        <v>44593</v>
      </c>
      <c r="C15" s="575">
        <f t="shared" si="1"/>
        <v>44958</v>
      </c>
      <c r="D15" s="576">
        <v>2000</v>
      </c>
      <c r="E15" s="577">
        <f>IF((C15-B15)/7+1/7+SUM($E$11:E14)&gt;250,(250-SUM($E$11:E14)), ((C15-B15)/7)+1/7)</f>
        <v>52.285714285714292</v>
      </c>
      <c r="F15" s="578">
        <f t="shared" si="0"/>
        <v>104571.42857142858</v>
      </c>
      <c r="G15" s="563"/>
    </row>
    <row r="16" spans="1:11" ht="21.45" customHeight="1">
      <c r="B16" s="574">
        <v>44392</v>
      </c>
      <c r="C16" s="575">
        <f t="shared" si="1"/>
        <v>44593</v>
      </c>
      <c r="D16" s="576">
        <v>1900</v>
      </c>
      <c r="E16" s="577">
        <f>IF((C16-B16)/7+1/7+SUM($E$11:E15)&gt;250,(250-SUM($E$11:E15)), ((C16-B16)/7)+1/7)</f>
        <v>28.857142857142858</v>
      </c>
      <c r="F16" s="578">
        <f t="shared" si="0"/>
        <v>54828.571428571428</v>
      </c>
      <c r="G16" s="563"/>
    </row>
    <row r="17" spans="2:7" ht="21.45" customHeight="1">
      <c r="B17" s="574">
        <v>44197</v>
      </c>
      <c r="C17" s="575">
        <v>44392</v>
      </c>
      <c r="D17" s="576">
        <v>1800.5</v>
      </c>
      <c r="E17" s="577">
        <f>IF((C17-B17)/7+1/7+SUM($E$11:E16)&gt;250,(250-SUM($E$11:E16)), ((C17-B17)/7)+1/7)</f>
        <v>10.428571428571416</v>
      </c>
      <c r="F17" s="578">
        <f t="shared" si="0"/>
        <v>18776.642857142837</v>
      </c>
      <c r="G17" s="563"/>
    </row>
    <row r="18" spans="2:7" ht="21.45" customHeight="1">
      <c r="B18" s="574"/>
      <c r="C18" s="575"/>
      <c r="D18" s="576"/>
      <c r="E18" s="577">
        <f>IF((C18-B18)/7+1/7+SUM($E$11:E17)&gt;250,(250-SUM($E$11:E17)), ((C18-B18)/7)+1/7)</f>
        <v>0</v>
      </c>
      <c r="F18" s="578">
        <f t="shared" si="0"/>
        <v>0</v>
      </c>
      <c r="G18" s="563"/>
    </row>
    <row r="19" spans="2:7" ht="21.45" customHeight="1">
      <c r="B19" s="574"/>
      <c r="C19" s="575"/>
      <c r="D19" s="576"/>
      <c r="E19" s="577">
        <f>IF((C19-B19)/7+1/7+SUM($E$11:E18)&gt;250,(250-SUM($E$11:E18)), ((C19-B19)/7)+1/7)</f>
        <v>0</v>
      </c>
      <c r="F19" s="578">
        <f t="shared" si="0"/>
        <v>0</v>
      </c>
      <c r="G19" s="563"/>
    </row>
    <row r="20" spans="2:7" ht="21.45" customHeight="1">
      <c r="B20" s="574"/>
      <c r="C20" s="575"/>
      <c r="D20" s="576"/>
      <c r="E20" s="577">
        <f>IF((C20-B20)/7+1/7+SUM($E$11:E19)&gt;250,(250-SUM($E$11:E19)), ((C20-B20)/7)+1/7)</f>
        <v>0</v>
      </c>
      <c r="F20" s="578">
        <f t="shared" si="0"/>
        <v>0</v>
      </c>
      <c r="G20" s="563"/>
    </row>
    <row r="21" spans="2:7" ht="21.45" customHeight="1">
      <c r="B21" s="574"/>
      <c r="C21" s="575"/>
      <c r="D21" s="576"/>
      <c r="E21" s="577">
        <f>IF((C21-B21)/7+1/7+SUM($E$11:E20)&gt;250,(250-SUM($E$11:E20)), ((C21-B21)/7)+1/7)</f>
        <v>0</v>
      </c>
      <c r="F21" s="578">
        <f t="shared" si="0"/>
        <v>0</v>
      </c>
      <c r="G21" s="563"/>
    </row>
    <row r="22" spans="2:7" ht="21.45" customHeight="1">
      <c r="B22" s="574"/>
      <c r="C22" s="575"/>
      <c r="D22" s="576"/>
      <c r="E22" s="577">
        <f>IF((C22-B22)/7+1/7+SUM($E$11:E21)&gt;250,(250-SUM($E$11:E21)), ((C22-B22)/7)+1/7)</f>
        <v>0</v>
      </c>
      <c r="F22" s="578">
        <f t="shared" si="0"/>
        <v>0</v>
      </c>
      <c r="G22" s="563"/>
    </row>
    <row r="23" spans="2:7" ht="21.45" customHeight="1">
      <c r="B23" s="574"/>
      <c r="C23" s="575"/>
      <c r="D23" s="576"/>
      <c r="E23" s="577">
        <f>IF((C23-B23)/7+1/7+SUM($E$11:E22)&gt;250,(250-SUM($E$11:E22)), ((C23-B23)/7)+1/7)</f>
        <v>0</v>
      </c>
      <c r="F23" s="578">
        <f t="shared" si="0"/>
        <v>0</v>
      </c>
      <c r="G23" s="563"/>
    </row>
    <row r="24" spans="2:7" ht="21.45" customHeight="1">
      <c r="B24" s="574"/>
      <c r="C24" s="579"/>
      <c r="D24" s="576"/>
      <c r="E24" s="577">
        <f>IF((C24-B24)/7+1/7+SUM($E$11:E23)&gt;250,(250-SUM($E$11:E23)), ((C24-B24)/7)+1/7)</f>
        <v>0</v>
      </c>
      <c r="F24" s="578">
        <f t="shared" si="0"/>
        <v>0</v>
      </c>
      <c r="G24" s="563"/>
    </row>
    <row r="25" spans="2:7" ht="21.45" customHeight="1">
      <c r="B25" s="574"/>
      <c r="C25" s="579"/>
      <c r="D25" s="576"/>
      <c r="E25" s="577">
        <f>IF((C25-B25)/7+1/7+SUM($E$11:E24)&gt;250,(250-SUM($E$11:E24)), ((C25-B25)/7)+1/7)</f>
        <v>0</v>
      </c>
      <c r="F25" s="578">
        <f t="shared" si="0"/>
        <v>0</v>
      </c>
      <c r="G25" s="563"/>
    </row>
    <row r="26" spans="2:7" ht="21.45" customHeight="1">
      <c r="B26" s="574"/>
      <c r="C26" s="579"/>
      <c r="D26" s="576"/>
      <c r="E26" s="577">
        <f>IF((C26-B26)/7+1/7+SUM($E$11:E25)&gt;250,(250-SUM($E$11:E25)), ((C26-B26)/7)+1/7)</f>
        <v>0</v>
      </c>
      <c r="F26" s="578">
        <f t="shared" si="0"/>
        <v>0</v>
      </c>
      <c r="G26" s="563"/>
    </row>
    <row r="27" spans="2:7" ht="21.45" customHeight="1">
      <c r="B27" s="574"/>
      <c r="C27" s="579"/>
      <c r="D27" s="576"/>
      <c r="E27" s="577">
        <f>IF((C27-B27)/7+1/7+SUM($E$11:E26)&gt;250,(250-SUM($E$11:E26)), ((C27-B27)/7)+1/7)</f>
        <v>0</v>
      </c>
      <c r="F27" s="578">
        <f t="shared" si="0"/>
        <v>0</v>
      </c>
      <c r="G27" s="563"/>
    </row>
    <row r="28" spans="2:7" ht="21.45" customHeight="1">
      <c r="B28" s="574"/>
      <c r="C28" s="579"/>
      <c r="D28" s="576"/>
      <c r="E28" s="577">
        <f>IF((C28-B28)/7+1/7+SUM($E$11:E27)&gt;250,(250-SUM($E$11:E27)), ((C28-B28)/7)+1/7)</f>
        <v>0</v>
      </c>
      <c r="F28" s="578">
        <f t="shared" si="0"/>
        <v>0</v>
      </c>
      <c r="G28" s="563"/>
    </row>
    <row r="29" spans="2:7" ht="21.45" customHeight="1">
      <c r="B29" s="574"/>
      <c r="C29" s="579"/>
      <c r="D29" s="576"/>
      <c r="E29" s="577">
        <f>IF((C29-B29)/7+1/7+SUM($E$11:E28)&gt;250,(250-SUM($E$11:E28)), ((C29-B29)/7)+1/7)</f>
        <v>0</v>
      </c>
      <c r="F29" s="578">
        <f t="shared" si="0"/>
        <v>0</v>
      </c>
      <c r="G29" s="563"/>
    </row>
    <row r="30" spans="2:7" ht="21.45" customHeight="1">
      <c r="B30" s="574"/>
      <c r="C30" s="579"/>
      <c r="D30" s="576"/>
      <c r="E30" s="577">
        <f>IF((C30-B30)/7+1/7+SUM($E$11:E29)&gt;250,(250-SUM($E$11:E29)), ((C30-B30)/7)+1/7)</f>
        <v>0</v>
      </c>
      <c r="F30" s="578">
        <f t="shared" si="0"/>
        <v>0</v>
      </c>
      <c r="G30" s="563"/>
    </row>
    <row r="31" spans="2:7" ht="21.45" customHeight="1">
      <c r="B31" s="574"/>
      <c r="C31" s="579"/>
      <c r="D31" s="576"/>
      <c r="E31" s="577">
        <f>IF((C31-B31)/7+1/7+SUM($E$11:E30)&gt;250,(250-SUM($E$11:E30)), ((C31-B31)/7)+1/7)</f>
        <v>0</v>
      </c>
      <c r="F31" s="578">
        <f t="shared" si="0"/>
        <v>0</v>
      </c>
      <c r="G31" s="563"/>
    </row>
    <row r="32" spans="2:7" ht="21.45" customHeight="1">
      <c r="B32" s="574"/>
      <c r="C32" s="579"/>
      <c r="D32" s="576"/>
      <c r="E32" s="577">
        <f>IF((C32-B32)/7+1/7+SUM($E$11:E31)&gt;250,(250-SUM($E$11:E31)), ((C32-B32)/7)+1/7)</f>
        <v>0</v>
      </c>
      <c r="F32" s="578">
        <f t="shared" si="0"/>
        <v>0</v>
      </c>
      <c r="G32" s="563"/>
    </row>
    <row r="33" spans="2:7" ht="21.45" customHeight="1">
      <c r="B33" s="574"/>
      <c r="C33" s="579"/>
      <c r="D33" s="576"/>
      <c r="E33" s="577">
        <f>IF((C33-B33)/7+1/7+SUM($E$11:E32)&gt;250,(250-SUM($E$11:E32)), ((C33-B33)/7)+1/7)</f>
        <v>0</v>
      </c>
      <c r="F33" s="578">
        <f t="shared" si="0"/>
        <v>0</v>
      </c>
      <c r="G33" s="563"/>
    </row>
    <row r="34" spans="2:7" ht="21.45" customHeight="1">
      <c r="B34" s="574"/>
      <c r="C34" s="579"/>
      <c r="D34" s="576"/>
      <c r="E34" s="577">
        <f>IF((C34-B34)/7+1/7+SUM($E$11:E33)&gt;250,(250-SUM($E$11:E33)), ((C34-B34)/7)+1/7)</f>
        <v>0</v>
      </c>
      <c r="F34" s="578">
        <f t="shared" si="0"/>
        <v>0</v>
      </c>
      <c r="G34" s="563"/>
    </row>
    <row r="35" spans="2:7" ht="21.45" customHeight="1">
      <c r="B35" s="574"/>
      <c r="C35" s="579"/>
      <c r="D35" s="576"/>
      <c r="E35" s="577">
        <f>IF((C35-B35)/7+1/7+SUM($E$11:E34)&gt;250,(250-SUM($E$11:E34)), ((C35-B35)/7)+1/7)</f>
        <v>0</v>
      </c>
      <c r="F35" s="578">
        <f t="shared" si="0"/>
        <v>0</v>
      </c>
      <c r="G35" s="563"/>
    </row>
    <row r="36" spans="2:7" ht="21.45" customHeight="1">
      <c r="B36" s="574"/>
      <c r="C36" s="579"/>
      <c r="D36" s="576"/>
      <c r="E36" s="577">
        <f>IF((C36-B36)/7+1/7+SUM($E$11:E35)&gt;250,(250-SUM($E$11:E35)), ((C36-B36)/7)+1/7)</f>
        <v>0</v>
      </c>
      <c r="F36" s="578">
        <f t="shared" si="0"/>
        <v>0</v>
      </c>
      <c r="G36" s="563"/>
    </row>
    <row r="37" spans="2:7" ht="21.45" customHeight="1">
      <c r="B37" s="574"/>
      <c r="C37" s="579"/>
      <c r="D37" s="576"/>
      <c r="E37" s="577">
        <f>IF((C37-B37)/7+1/7+SUM($E$11:E36)&gt;250,(250-SUM($E$11:E36)), ((C37-B37)/7)+1/7)</f>
        <v>0</v>
      </c>
      <c r="F37" s="578">
        <f t="shared" si="0"/>
        <v>0</v>
      </c>
      <c r="G37" s="563"/>
    </row>
    <row r="38" spans="2:7" ht="21.45" customHeight="1">
      <c r="B38" s="574"/>
      <c r="C38" s="579"/>
      <c r="D38" s="576"/>
      <c r="E38" s="577">
        <f>IF((C38-B38)/7+1/7+SUM($E$11:E37)&gt;250,(250-SUM($E$11:E37)), ((C38-B38)/7)+1/7)</f>
        <v>0</v>
      </c>
      <c r="F38" s="578">
        <f t="shared" si="0"/>
        <v>0</v>
      </c>
      <c r="G38" s="563"/>
    </row>
    <row r="39" spans="2:7" ht="21.45" customHeight="1">
      <c r="B39" s="574"/>
      <c r="C39" s="579"/>
      <c r="D39" s="576"/>
      <c r="E39" s="577">
        <f>IF((C39-B39)/7+1/7+SUM($E$11:E38)&gt;250,(250-SUM($E$11:E38)), ((C39-B39)/7)+1/7)</f>
        <v>0</v>
      </c>
      <c r="F39" s="578">
        <f t="shared" si="0"/>
        <v>0</v>
      </c>
      <c r="G39" s="563"/>
    </row>
    <row r="40" spans="2:7" ht="21.45" customHeight="1">
      <c r="B40" s="574"/>
      <c r="C40" s="579"/>
      <c r="D40" s="576"/>
      <c r="E40" s="577">
        <f>IF((C40-B40)/7+1/7+SUM($E$11:E39)&gt;250,(250-SUM($E$11:E39)), ((C40-B40)/7)+1/7)</f>
        <v>0</v>
      </c>
      <c r="F40" s="578">
        <f t="shared" si="0"/>
        <v>0</v>
      </c>
      <c r="G40" s="563"/>
    </row>
    <row r="41" spans="2:7" ht="21.45" customHeight="1">
      <c r="B41" s="574"/>
      <c r="C41" s="579"/>
      <c r="D41" s="576"/>
      <c r="E41" s="577">
        <f>IF((C41-B41)/7+1/7+SUM($E$11:E40)&gt;250,(250-SUM($E$11:E40)), ((C41-B41)/7)+1/7)</f>
        <v>0</v>
      </c>
      <c r="F41" s="578">
        <f t="shared" si="0"/>
        <v>0</v>
      </c>
      <c r="G41" s="563"/>
    </row>
    <row r="42" spans="2:7" ht="21.45" customHeight="1">
      <c r="B42" s="574"/>
      <c r="C42" s="579"/>
      <c r="D42" s="576"/>
      <c r="E42" s="577">
        <f>IF((C42-B42)/7+1/7+SUM($E$11:E41)&gt;250,(250-SUM($E$11:E41)), ((C42-B42)/7)+1/7)</f>
        <v>0</v>
      </c>
      <c r="F42" s="578">
        <f t="shared" si="0"/>
        <v>0</v>
      </c>
      <c r="G42" s="563"/>
    </row>
    <row r="43" spans="2:7" ht="21.45" customHeight="1">
      <c r="B43" s="574"/>
      <c r="C43" s="579"/>
      <c r="D43" s="576"/>
      <c r="E43" s="577">
        <f>IF((C43-B43)/7+1/7+SUM($E$11:E42)&gt;250,(250-SUM($E$11:E42)), ((C43-B43)/7)+1/7)</f>
        <v>0</v>
      </c>
      <c r="F43" s="578">
        <f t="shared" si="0"/>
        <v>0</v>
      </c>
      <c r="G43" s="563"/>
    </row>
    <row r="44" spans="2:7" ht="21.45" customHeight="1">
      <c r="B44" s="574"/>
      <c r="C44" s="579"/>
      <c r="D44" s="576"/>
      <c r="E44" s="577">
        <f>IF((C44-B44)/7+1/7+SUM($E$11:E43)&gt;250,(250-SUM($E$11:E43)), ((C44-B44)/7)+1/7)</f>
        <v>0</v>
      </c>
      <c r="F44" s="578">
        <f t="shared" ref="F44:F75" si="2">IF(E44&gt;0,E44*D44,E44*D43)</f>
        <v>0</v>
      </c>
      <c r="G44" s="563"/>
    </row>
    <row r="45" spans="2:7" ht="21.45" customHeight="1">
      <c r="B45" s="574"/>
      <c r="C45" s="579"/>
      <c r="D45" s="576"/>
      <c r="E45" s="577">
        <f>IF((C45-B45)/7+1/7+SUM($E$11:E44)&gt;250,(250-SUM($E$11:E44)), ((C45-B45)/7)+1/7)</f>
        <v>0</v>
      </c>
      <c r="F45" s="578">
        <f t="shared" si="2"/>
        <v>0</v>
      </c>
      <c r="G45" s="563"/>
    </row>
    <row r="46" spans="2:7" ht="21.45" customHeight="1">
      <c r="B46" s="574"/>
      <c r="C46" s="579"/>
      <c r="D46" s="576"/>
      <c r="E46" s="577">
        <f>IF((C46-B46)/7+1/7+SUM($E$11:E45)&gt;250,(250-SUM($E$11:E45)), ((C46-B46)/7)+1/7)</f>
        <v>0</v>
      </c>
      <c r="F46" s="578">
        <f t="shared" si="2"/>
        <v>0</v>
      </c>
      <c r="G46" s="563"/>
    </row>
    <row r="47" spans="2:7" ht="21.45" customHeight="1">
      <c r="B47" s="574"/>
      <c r="C47" s="579"/>
      <c r="D47" s="576"/>
      <c r="E47" s="577">
        <f>IF((C47-B47)/7+1/7+SUM($E$11:E46)&gt;250,(250-SUM($E$11:E46)), ((C47-B47)/7)+1/7)</f>
        <v>0</v>
      </c>
      <c r="F47" s="578">
        <f t="shared" si="2"/>
        <v>0</v>
      </c>
      <c r="G47" s="563"/>
    </row>
    <row r="48" spans="2:7" ht="21.45" customHeight="1">
      <c r="B48" s="574"/>
      <c r="C48" s="579"/>
      <c r="D48" s="576"/>
      <c r="E48" s="577">
        <f>IF((C48-B48)/7+1/7+SUM($E$11:E47)&gt;250,(250-SUM($E$11:E47)), ((C48-B48)/7)+1/7)</f>
        <v>0</v>
      </c>
      <c r="F48" s="578">
        <f t="shared" si="2"/>
        <v>0</v>
      </c>
      <c r="G48" s="563"/>
    </row>
    <row r="49" spans="2:7" ht="21.45" customHeight="1">
      <c r="B49" s="574"/>
      <c r="C49" s="579"/>
      <c r="D49" s="576"/>
      <c r="E49" s="577">
        <f>IF((C49-B49)/7+1/7+SUM($E$11:E48)&gt;250,(250-SUM($E$11:E48)), ((C49-B49)/7)+1/7)</f>
        <v>0</v>
      </c>
      <c r="F49" s="578">
        <f t="shared" si="2"/>
        <v>0</v>
      </c>
      <c r="G49" s="563"/>
    </row>
    <row r="50" spans="2:7" ht="21.45" customHeight="1">
      <c r="B50" s="574"/>
      <c r="C50" s="579"/>
      <c r="D50" s="576"/>
      <c r="E50" s="577">
        <f>IF((C50-B50)/7+1/7+SUM($E$11:E49)&gt;250,(250-SUM($E$11:E49)), ((C50-B50)/7)+1/7)</f>
        <v>0</v>
      </c>
      <c r="F50" s="578">
        <f t="shared" si="2"/>
        <v>0</v>
      </c>
      <c r="G50" s="563"/>
    </row>
    <row r="51" spans="2:7" ht="21.45" customHeight="1">
      <c r="B51" s="574"/>
      <c r="C51" s="579"/>
      <c r="D51" s="576"/>
      <c r="E51" s="577">
        <f>IF((C51-B51)/7+1/7+SUM($E$11:E50)&gt;250,(250-SUM($E$11:E50)), ((C51-B51)/7)+1/7)</f>
        <v>0</v>
      </c>
      <c r="F51" s="578">
        <f t="shared" si="2"/>
        <v>0</v>
      </c>
      <c r="G51" s="563"/>
    </row>
    <row r="52" spans="2:7" ht="21.45" customHeight="1">
      <c r="B52" s="574"/>
      <c r="C52" s="579"/>
      <c r="D52" s="576"/>
      <c r="E52" s="577">
        <f>IF((C52-B52)/7+1/7+SUM($E$11:E51)&gt;250,(250-SUM($E$11:E51)), ((C52-B52)/7)+1/7)</f>
        <v>0</v>
      </c>
      <c r="F52" s="578">
        <f t="shared" si="2"/>
        <v>0</v>
      </c>
      <c r="G52" s="563"/>
    </row>
    <row r="53" spans="2:7" ht="21.45" customHeight="1">
      <c r="B53" s="574"/>
      <c r="C53" s="579"/>
      <c r="D53" s="576"/>
      <c r="E53" s="577">
        <f>IF((C53-B53)/7+1/7+SUM($E$11:E52)&gt;250,(250-SUM($E$11:E52)), ((C53-B53)/7)+1/7)</f>
        <v>0</v>
      </c>
      <c r="F53" s="578">
        <f t="shared" si="2"/>
        <v>0</v>
      </c>
      <c r="G53" s="563"/>
    </row>
    <row r="54" spans="2:7" ht="21.45" customHeight="1">
      <c r="B54" s="574"/>
      <c r="C54" s="579"/>
      <c r="D54" s="576"/>
      <c r="E54" s="577">
        <f>IF((C54-B54)/7+1/7+SUM($E$11:E53)&gt;250,(250-SUM($E$11:E53)), ((C54-B54)/7)+1/7)</f>
        <v>0</v>
      </c>
      <c r="F54" s="578">
        <f t="shared" si="2"/>
        <v>0</v>
      </c>
      <c r="G54" s="563"/>
    </row>
    <row r="55" spans="2:7" ht="21.45" customHeight="1">
      <c r="B55" s="574"/>
      <c r="C55" s="579"/>
      <c r="D55" s="576"/>
      <c r="E55" s="577">
        <f>IF((C55-B55)/7+1/7+SUM($E$11:E54)&gt;250,(250-SUM($E$11:E54)), ((C55-B55)/7)+1/7)</f>
        <v>0</v>
      </c>
      <c r="F55" s="578">
        <f t="shared" si="2"/>
        <v>0</v>
      </c>
      <c r="G55" s="563"/>
    </row>
    <row r="56" spans="2:7" ht="21.45" customHeight="1">
      <c r="B56" s="574"/>
      <c r="C56" s="579"/>
      <c r="D56" s="576"/>
      <c r="E56" s="577">
        <f>IF((C56-B56)/7+1/7+SUM($E$11:E55)&gt;250,(250-SUM($E$11:E55)), ((C56-B56)/7)+1/7)</f>
        <v>0</v>
      </c>
      <c r="F56" s="578">
        <f t="shared" si="2"/>
        <v>0</v>
      </c>
      <c r="G56" s="563"/>
    </row>
    <row r="57" spans="2:7" ht="21.45" customHeight="1">
      <c r="B57" s="574"/>
      <c r="C57" s="579"/>
      <c r="D57" s="576"/>
      <c r="E57" s="577">
        <f>IF((C57-B57)/7+1/7+SUM($E$11:E56)&gt;250,(250-SUM($E$11:E56)), ((C57-B57)/7)+1/7)</f>
        <v>0</v>
      </c>
      <c r="F57" s="578">
        <f t="shared" si="2"/>
        <v>0</v>
      </c>
      <c r="G57" s="563"/>
    </row>
    <row r="58" spans="2:7" ht="21.45" customHeight="1">
      <c r="B58" s="574"/>
      <c r="C58" s="579"/>
      <c r="D58" s="576"/>
      <c r="E58" s="577">
        <f>IF((C58-B58)/7+1/7+SUM($E$11:E57)&gt;250,(250-SUM($E$11:E57)), ((C58-B58)/7)+1/7)</f>
        <v>0</v>
      </c>
      <c r="F58" s="578">
        <f t="shared" si="2"/>
        <v>0</v>
      </c>
      <c r="G58" s="563"/>
    </row>
    <row r="59" spans="2:7" ht="21.45" customHeight="1">
      <c r="B59" s="574"/>
      <c r="C59" s="579"/>
      <c r="D59" s="576"/>
      <c r="E59" s="577">
        <f>IF((C59-B59)/7+1/7+SUM($E$11:E58)&gt;250,(250-SUM($E$11:E58)), ((C59-B59)/7)+1/7)</f>
        <v>0</v>
      </c>
      <c r="F59" s="578">
        <f t="shared" si="2"/>
        <v>0</v>
      </c>
      <c r="G59" s="563"/>
    </row>
    <row r="60" spans="2:7" ht="21.45" customHeight="1">
      <c r="B60" s="574"/>
      <c r="C60" s="579"/>
      <c r="D60" s="576"/>
      <c r="E60" s="577">
        <f>IF((C60-B60)/7+1/7+SUM($E$11:E59)&gt;250,(250-SUM($E$11:E59)), ((C60-B60)/7)+1/7)</f>
        <v>0</v>
      </c>
      <c r="F60" s="578">
        <f t="shared" si="2"/>
        <v>0</v>
      </c>
      <c r="G60" s="563"/>
    </row>
    <row r="61" spans="2:7" ht="21.45" customHeight="1">
      <c r="B61" s="580"/>
      <c r="C61" s="581"/>
      <c r="D61" s="582"/>
      <c r="E61" s="583">
        <f>IF((C61-B61)/7+1/7+SUM($E$11:E60)&gt;250,(250-SUM($E$11:E60)), ((C61-B61)/7)+1/7)</f>
        <v>0</v>
      </c>
      <c r="F61" s="584">
        <f t="shared" si="2"/>
        <v>0</v>
      </c>
      <c r="G61" s="563"/>
    </row>
    <row r="62" spans="2:7" ht="18" customHeight="1" outlineLevel="1">
      <c r="B62" s="585"/>
      <c r="C62" s="586"/>
      <c r="D62" s="587"/>
      <c r="E62" s="588">
        <f>IF((C62-B62)/7+1/7+SUM($E$11:E61)&gt;250,(250-SUM($E$11:E61)), ((C62-B62)/7)+1/7)</f>
        <v>0</v>
      </c>
      <c r="F62" s="589">
        <f t="shared" si="2"/>
        <v>0</v>
      </c>
      <c r="G62" s="563"/>
    </row>
    <row r="63" spans="2:7" ht="18" customHeight="1" outlineLevel="1">
      <c r="B63" s="590"/>
      <c r="C63" s="579"/>
      <c r="D63" s="591"/>
      <c r="E63" s="592">
        <f>IF((C63-B63)/7+1/7+SUM($E$11:E62)&gt;250,(250-SUM($E$11:E62)), ((C63-B63)/7)+1/7)</f>
        <v>0</v>
      </c>
      <c r="F63" s="593">
        <f t="shared" si="2"/>
        <v>0</v>
      </c>
      <c r="G63" s="563"/>
    </row>
    <row r="64" spans="2:7" ht="18" customHeight="1" outlineLevel="1">
      <c r="B64" s="590"/>
      <c r="C64" s="579"/>
      <c r="D64" s="591"/>
      <c r="E64" s="592">
        <f>IF((C64-B64)/7+1/7+SUM($E$11:E63)&gt;250,(250-SUM($E$11:E63)), ((C64-B64)/7)+1/7)</f>
        <v>0</v>
      </c>
      <c r="F64" s="593">
        <f t="shared" si="2"/>
        <v>0</v>
      </c>
      <c r="G64" s="563"/>
    </row>
    <row r="65" spans="2:7" ht="18" customHeight="1" outlineLevel="1">
      <c r="B65" s="590"/>
      <c r="C65" s="579"/>
      <c r="D65" s="591"/>
      <c r="E65" s="592">
        <f>IF((C65-B65)/7+1/7+SUM($E$11:E64)&gt;250,(250-SUM($E$11:E64)), ((C65-B65)/7)+1/7)</f>
        <v>0</v>
      </c>
      <c r="F65" s="593">
        <f t="shared" si="2"/>
        <v>0</v>
      </c>
      <c r="G65" s="563"/>
    </row>
    <row r="66" spans="2:7" ht="18" customHeight="1" outlineLevel="1">
      <c r="B66" s="590"/>
      <c r="C66" s="579"/>
      <c r="D66" s="591"/>
      <c r="E66" s="592">
        <f>IF((C66-B66)/7+1/7+SUM($E$11:E65)&gt;250,(250-SUM($E$11:E65)), ((C66-B66)/7)+1/7)</f>
        <v>0</v>
      </c>
      <c r="F66" s="593">
        <f t="shared" si="2"/>
        <v>0</v>
      </c>
      <c r="G66" s="563"/>
    </row>
    <row r="67" spans="2:7" ht="18" customHeight="1" outlineLevel="1">
      <c r="B67" s="590"/>
      <c r="C67" s="579"/>
      <c r="D67" s="591"/>
      <c r="E67" s="592">
        <f>IF((C67-B67)/7+1/7+SUM($E$11:E66)&gt;250,(250-SUM($E$11:E66)), ((C67-B67)/7)+1/7)</f>
        <v>0</v>
      </c>
      <c r="F67" s="593">
        <f t="shared" si="2"/>
        <v>0</v>
      </c>
      <c r="G67" s="563"/>
    </row>
    <row r="68" spans="2:7" ht="18" customHeight="1" outlineLevel="1">
      <c r="B68" s="590"/>
      <c r="C68" s="579"/>
      <c r="D68" s="591"/>
      <c r="E68" s="592">
        <f>IF((C68-B68)/7+1/7+SUM($E$11:E67)&gt;250,(250-SUM($E$11:E67)), ((C68-B68)/7)+1/7)</f>
        <v>0</v>
      </c>
      <c r="F68" s="593">
        <f t="shared" si="2"/>
        <v>0</v>
      </c>
      <c r="G68" s="563"/>
    </row>
    <row r="69" spans="2:7" ht="18" customHeight="1" outlineLevel="1">
      <c r="B69" s="590"/>
      <c r="C69" s="579"/>
      <c r="D69" s="591"/>
      <c r="E69" s="592">
        <f>IF((C69-B69)/7+1/7+SUM($E$11:E68)&gt;250,(250-SUM($E$11:E68)), ((C69-B69)/7)+1/7)</f>
        <v>0</v>
      </c>
      <c r="F69" s="593">
        <f t="shared" si="2"/>
        <v>0</v>
      </c>
      <c r="G69" s="563"/>
    </row>
    <row r="70" spans="2:7" ht="18" customHeight="1" outlineLevel="1">
      <c r="B70" s="590"/>
      <c r="C70" s="579"/>
      <c r="D70" s="591"/>
      <c r="E70" s="592">
        <f>IF((C70-B70)/7+1/7+SUM($E$11:E69)&gt;250,(250-SUM($E$11:E69)), ((C70-B70)/7)+1/7)</f>
        <v>0</v>
      </c>
      <c r="F70" s="593">
        <f t="shared" si="2"/>
        <v>0</v>
      </c>
      <c r="G70" s="563"/>
    </row>
    <row r="71" spans="2:7" ht="18" customHeight="1" outlineLevel="1">
      <c r="B71" s="590"/>
      <c r="C71" s="579"/>
      <c r="D71" s="591"/>
      <c r="E71" s="592">
        <f>IF((C71-B71)/7+1/7+SUM($E$11:E70)&gt;250,(250-SUM($E$11:E70)), ((C71-B71)/7)+1/7)</f>
        <v>0</v>
      </c>
      <c r="F71" s="593">
        <f t="shared" si="2"/>
        <v>0</v>
      </c>
      <c r="G71" s="563"/>
    </row>
    <row r="72" spans="2:7" ht="18" customHeight="1" outlineLevel="1">
      <c r="B72" s="590"/>
      <c r="C72" s="579"/>
      <c r="D72" s="591"/>
      <c r="E72" s="592">
        <f>IF((C72-B72)/7+1/7+SUM($E$11:E71)&gt;250,(250-SUM($E$11:E71)), ((C72-B72)/7)+1/7)</f>
        <v>0</v>
      </c>
      <c r="F72" s="593">
        <f t="shared" si="2"/>
        <v>0</v>
      </c>
      <c r="G72" s="563"/>
    </row>
    <row r="73" spans="2:7" ht="18" customHeight="1" outlineLevel="1">
      <c r="B73" s="590"/>
      <c r="C73" s="579"/>
      <c r="D73" s="591"/>
      <c r="E73" s="592">
        <f>IF((C73-B73)/7+1/7+SUM($E$11:E72)&gt;250,(250-SUM($E$11:E72)), ((C73-B73)/7)+1/7)</f>
        <v>0</v>
      </c>
      <c r="F73" s="593">
        <f t="shared" si="2"/>
        <v>0</v>
      </c>
      <c r="G73" s="563"/>
    </row>
    <row r="74" spans="2:7" ht="18" customHeight="1" outlineLevel="1">
      <c r="B74" s="590"/>
      <c r="C74" s="579"/>
      <c r="D74" s="591"/>
      <c r="E74" s="592">
        <f>IF((C74-B74)/7+1/7+SUM($E$11:E73)&gt;250,(250-SUM($E$11:E73)), ((C74-B74)/7)+1/7)</f>
        <v>0</v>
      </c>
      <c r="F74" s="593">
        <f t="shared" si="2"/>
        <v>0</v>
      </c>
      <c r="G74" s="563"/>
    </row>
    <row r="75" spans="2:7" ht="18" customHeight="1" outlineLevel="1">
      <c r="B75" s="590"/>
      <c r="C75" s="579"/>
      <c r="D75" s="591"/>
      <c r="E75" s="592">
        <f>IF((C75-B75)/7+1/7+SUM($E$11:E74)&gt;250,(250-SUM($E$11:E74)), ((C75-B75)/7)+1/7)</f>
        <v>0</v>
      </c>
      <c r="F75" s="593">
        <f t="shared" si="2"/>
        <v>0</v>
      </c>
      <c r="G75" s="563"/>
    </row>
    <row r="76" spans="2:7" ht="18" customHeight="1" outlineLevel="1">
      <c r="B76" s="590"/>
      <c r="C76" s="579"/>
      <c r="D76" s="591"/>
      <c r="E76" s="592">
        <f>IF((C76-B76)/7+1/7+SUM($E$11:E75)&gt;250,(250-SUM($E$11:E75)), ((C76-B76)/7)+1/7)</f>
        <v>0</v>
      </c>
      <c r="F76" s="593">
        <f t="shared" ref="F76:F107" si="3">IF(E76&gt;0,E76*D76,E76*D75)</f>
        <v>0</v>
      </c>
      <c r="G76" s="563"/>
    </row>
    <row r="77" spans="2:7" ht="18" customHeight="1" outlineLevel="1">
      <c r="B77" s="590"/>
      <c r="C77" s="579"/>
      <c r="D77" s="591"/>
      <c r="E77" s="592">
        <f>IF((C77-B77)/7+1/7+SUM($E$11:E76)&gt;250,(250-SUM($E$11:E76)), ((C77-B77)/7)+1/7)</f>
        <v>0</v>
      </c>
      <c r="F77" s="593">
        <f t="shared" si="3"/>
        <v>0</v>
      </c>
      <c r="G77" s="563"/>
    </row>
    <row r="78" spans="2:7" ht="18" customHeight="1" outlineLevel="1">
      <c r="B78" s="590"/>
      <c r="C78" s="579"/>
      <c r="D78" s="591"/>
      <c r="E78" s="592">
        <f>IF((C78-B78)/7+1/7+SUM($E$11:E77)&gt;250,(250-SUM($E$11:E77)), ((C78-B78)/7)+1/7)</f>
        <v>0</v>
      </c>
      <c r="F78" s="593">
        <f t="shared" si="3"/>
        <v>0</v>
      </c>
      <c r="G78" s="563"/>
    </row>
    <row r="79" spans="2:7" ht="18" customHeight="1" outlineLevel="1">
      <c r="B79" s="590"/>
      <c r="C79" s="579"/>
      <c r="D79" s="591"/>
      <c r="E79" s="592">
        <f>IF((C79-B79)/7+1/7+SUM($E$11:E78)&gt;250,(250-SUM($E$11:E78)), ((C79-B79)/7)+1/7)</f>
        <v>0</v>
      </c>
      <c r="F79" s="593">
        <f t="shared" si="3"/>
        <v>0</v>
      </c>
      <c r="G79" s="563"/>
    </row>
    <row r="80" spans="2:7" ht="18" customHeight="1" outlineLevel="1">
      <c r="B80" s="590"/>
      <c r="C80" s="579"/>
      <c r="D80" s="591"/>
      <c r="E80" s="592">
        <f>IF((C80-B80)/7+1/7+SUM($E$11:E79)&gt;250,(250-SUM($E$11:E79)), ((C80-B80)/7)+1/7)</f>
        <v>0</v>
      </c>
      <c r="F80" s="593">
        <f t="shared" si="3"/>
        <v>0</v>
      </c>
      <c r="G80" s="563"/>
    </row>
    <row r="81" spans="2:6" ht="18" customHeight="1" outlineLevel="1">
      <c r="B81" s="590"/>
      <c r="C81" s="575"/>
      <c r="D81" s="591"/>
      <c r="E81" s="592">
        <f>IF((C81-B81)/7+1/7+SUM($E$11:E80)&gt;250,(250-SUM($E$11:E80)), ((C81-B81)/7)+1/7)</f>
        <v>0</v>
      </c>
      <c r="F81" s="593">
        <f t="shared" si="3"/>
        <v>0</v>
      </c>
    </row>
    <row r="82" spans="2:6" ht="18" customHeight="1" outlineLevel="1">
      <c r="B82" s="590"/>
      <c r="C82" s="575"/>
      <c r="D82" s="591"/>
      <c r="E82" s="592">
        <f>IF((C82-B82)/7+1/7+SUM($E$11:E81)&gt;250,(250-SUM($E$11:E81)), ((C82-B82)/7)+1/7)</f>
        <v>0</v>
      </c>
      <c r="F82" s="593">
        <f t="shared" si="3"/>
        <v>0</v>
      </c>
    </row>
    <row r="83" spans="2:6" ht="18" customHeight="1" outlineLevel="1">
      <c r="B83" s="590"/>
      <c r="C83" s="575"/>
      <c r="D83" s="591"/>
      <c r="E83" s="592">
        <f>IF((C83-B83)/7+1/7+SUM($E$11:E82)&gt;250,(250-SUM($E$11:E82)), ((C83-B83)/7)+1/7)</f>
        <v>0</v>
      </c>
      <c r="F83" s="593">
        <f t="shared" si="3"/>
        <v>0</v>
      </c>
    </row>
    <row r="84" spans="2:6" ht="18" customHeight="1" outlineLevel="1">
      <c r="B84" s="590"/>
      <c r="C84" s="575"/>
      <c r="D84" s="591"/>
      <c r="E84" s="592">
        <f>IF((C84-B84)/7+1/7+SUM($E$11:E83)&gt;250,(250-SUM($E$11:E83)), ((C84-B84)/7)+1/7)</f>
        <v>0</v>
      </c>
      <c r="F84" s="593">
        <f t="shared" si="3"/>
        <v>0</v>
      </c>
    </row>
    <row r="85" spans="2:6" ht="18" customHeight="1" outlineLevel="1">
      <c r="B85" s="590"/>
      <c r="C85" s="575"/>
      <c r="D85" s="591"/>
      <c r="E85" s="592">
        <f>IF((C85-B85)/7+1/7+SUM($E$11:E84)&gt;250,(250-SUM($E$11:E84)), ((C85-B85)/7)+1/7)</f>
        <v>0</v>
      </c>
      <c r="F85" s="593">
        <f t="shared" si="3"/>
        <v>0</v>
      </c>
    </row>
    <row r="86" spans="2:6" ht="18" customHeight="1" outlineLevel="1">
      <c r="B86" s="590"/>
      <c r="C86" s="575"/>
      <c r="D86" s="591"/>
      <c r="E86" s="592">
        <f>IF((C86-B86)/7+1/7+SUM($E$11:E85)&gt;250,(250-SUM($E$11:E85)), ((C86-B86)/7)+1/7)</f>
        <v>0</v>
      </c>
      <c r="F86" s="593">
        <f t="shared" si="3"/>
        <v>0</v>
      </c>
    </row>
    <row r="87" spans="2:6" ht="18" customHeight="1" outlineLevel="1">
      <c r="B87" s="590"/>
      <c r="C87" s="575"/>
      <c r="D87" s="591"/>
      <c r="E87" s="592">
        <f>IF((C87-B87)/7+1/7+SUM($E$11:E86)&gt;250,(250-SUM($E$11:E86)), ((C87-B87)/7)+1/7)</f>
        <v>0</v>
      </c>
      <c r="F87" s="593">
        <f t="shared" si="3"/>
        <v>0</v>
      </c>
    </row>
    <row r="88" spans="2:6" ht="18" customHeight="1" outlineLevel="1">
      <c r="B88" s="590"/>
      <c r="C88" s="575"/>
      <c r="D88" s="591"/>
      <c r="E88" s="592">
        <f>IF((C88-B88)/7+1/7+SUM($E$11:E87)&gt;250,(250-SUM($E$11:E87)), ((C88-B88)/7)+1/7)</f>
        <v>0</v>
      </c>
      <c r="F88" s="593">
        <f t="shared" si="3"/>
        <v>0</v>
      </c>
    </row>
    <row r="89" spans="2:6" ht="18" customHeight="1" outlineLevel="1">
      <c r="B89" s="590"/>
      <c r="C89" s="575"/>
      <c r="D89" s="591"/>
      <c r="E89" s="592">
        <f>IF((C89-B89)/7+1/7+SUM($E$11:E88)&gt;250,(250-SUM($E$11:E88)), ((C89-B89)/7)+1/7)</f>
        <v>0</v>
      </c>
      <c r="F89" s="593">
        <f t="shared" si="3"/>
        <v>0</v>
      </c>
    </row>
    <row r="90" spans="2:6" ht="18" customHeight="1" outlineLevel="1">
      <c r="B90" s="590"/>
      <c r="C90" s="575"/>
      <c r="D90" s="591"/>
      <c r="E90" s="592">
        <f>IF((C90-B90)/7+1/7+SUM($E$11:E89)&gt;250,(250-SUM($E$11:E89)), ((C90-B90)/7)+1/7)</f>
        <v>0</v>
      </c>
      <c r="F90" s="593">
        <f t="shared" si="3"/>
        <v>0</v>
      </c>
    </row>
    <row r="91" spans="2:6" ht="18" customHeight="1" outlineLevel="1">
      <c r="B91" s="590"/>
      <c r="C91" s="575"/>
      <c r="D91" s="591"/>
      <c r="E91" s="592">
        <f>IF((C91-B91)/7+1/7+SUM($E$11:E90)&gt;250,(250-SUM($E$11:E90)), ((C91-B91)/7)+1/7)</f>
        <v>0</v>
      </c>
      <c r="F91" s="593">
        <f t="shared" si="3"/>
        <v>0</v>
      </c>
    </row>
    <row r="92" spans="2:6" ht="18" customHeight="1" outlineLevel="1">
      <c r="B92" s="590"/>
      <c r="C92" s="575"/>
      <c r="D92" s="591"/>
      <c r="E92" s="592">
        <f>IF((C92-B92)/7+1/7+SUM($E$11:E91)&gt;250,(250-SUM($E$11:E91)), ((C92-B92)/7)+1/7)</f>
        <v>0</v>
      </c>
      <c r="F92" s="593">
        <f t="shared" si="3"/>
        <v>0</v>
      </c>
    </row>
    <row r="93" spans="2:6" ht="18" customHeight="1" outlineLevel="1">
      <c r="B93" s="590"/>
      <c r="C93" s="575"/>
      <c r="D93" s="591"/>
      <c r="E93" s="592">
        <f>IF((C93-B93)/7+1/7+SUM($E$11:E92)&gt;250,(250-SUM($E$11:E92)), ((C93-B93)/7)+1/7)</f>
        <v>0</v>
      </c>
      <c r="F93" s="593">
        <f t="shared" si="3"/>
        <v>0</v>
      </c>
    </row>
    <row r="94" spans="2:6" ht="18" customHeight="1" outlineLevel="1">
      <c r="B94" s="590"/>
      <c r="C94" s="575"/>
      <c r="D94" s="591"/>
      <c r="E94" s="592">
        <f>IF((C94-B94)/7+1/7+SUM($E$11:E93)&gt;250,(250-SUM($E$11:E93)), ((C94-B94)/7)+1/7)</f>
        <v>0</v>
      </c>
      <c r="F94" s="593">
        <f t="shared" si="3"/>
        <v>0</v>
      </c>
    </row>
    <row r="95" spans="2:6" ht="18" customHeight="1" outlineLevel="1">
      <c r="B95" s="590"/>
      <c r="C95" s="575"/>
      <c r="D95" s="591"/>
      <c r="E95" s="592">
        <f>IF((C95-B95)/7+1/7+SUM($E$11:E94)&gt;250,(250-SUM($E$11:E94)), ((C95-B95)/7)+1/7)</f>
        <v>0</v>
      </c>
      <c r="F95" s="593">
        <f t="shared" si="3"/>
        <v>0</v>
      </c>
    </row>
    <row r="96" spans="2:6" ht="18" customHeight="1" outlineLevel="1">
      <c r="B96" s="590"/>
      <c r="C96" s="575"/>
      <c r="D96" s="591"/>
      <c r="E96" s="592">
        <f>IF((C96-B96)/7+1/7+SUM($E$11:E95)&gt;250,(250-SUM($E$11:E95)), ((C96-B96)/7)+1/7)</f>
        <v>0</v>
      </c>
      <c r="F96" s="593">
        <f t="shared" si="3"/>
        <v>0</v>
      </c>
    </row>
    <row r="97" spans="2:6" ht="18" customHeight="1" outlineLevel="1">
      <c r="B97" s="590"/>
      <c r="C97" s="575"/>
      <c r="D97" s="591"/>
      <c r="E97" s="592">
        <f>IF((C97-B97)/7+1/7+SUM($E$11:E96)&gt;250,(250-SUM($E$11:E96)), ((C97-B97)/7)+1/7)</f>
        <v>0</v>
      </c>
      <c r="F97" s="593">
        <f t="shared" si="3"/>
        <v>0</v>
      </c>
    </row>
    <row r="98" spans="2:6" ht="18" customHeight="1" outlineLevel="1">
      <c r="B98" s="590"/>
      <c r="C98" s="575"/>
      <c r="D98" s="591"/>
      <c r="E98" s="592">
        <f>IF((C98-B98)/7+1/7+SUM($E$11:E97)&gt;250,(250-SUM($E$11:E97)), ((C98-B98)/7)+1/7)</f>
        <v>0</v>
      </c>
      <c r="F98" s="593">
        <f t="shared" si="3"/>
        <v>0</v>
      </c>
    </row>
    <row r="99" spans="2:6" ht="18" customHeight="1" outlineLevel="1">
      <c r="B99" s="590"/>
      <c r="C99" s="575"/>
      <c r="D99" s="591"/>
      <c r="E99" s="592">
        <f>IF((C99-B99)/7+1/7+SUM($E$11:E98)&gt;250,(250-SUM($E$11:E98)), ((C99-B99)/7)+1/7)</f>
        <v>0</v>
      </c>
      <c r="F99" s="593">
        <f t="shared" si="3"/>
        <v>0</v>
      </c>
    </row>
    <row r="100" spans="2:6" ht="18" customHeight="1" outlineLevel="1">
      <c r="B100" s="590"/>
      <c r="C100" s="575"/>
      <c r="D100" s="591"/>
      <c r="E100" s="592">
        <f>IF((C100-B100)/7+1/7+SUM($E$11:E99)&gt;250,(250-SUM($E$11:E99)), ((C100-B100)/7)+1/7)</f>
        <v>0</v>
      </c>
      <c r="F100" s="593">
        <f t="shared" si="3"/>
        <v>0</v>
      </c>
    </row>
    <row r="101" spans="2:6" ht="18" customHeight="1" outlineLevel="1">
      <c r="B101" s="590"/>
      <c r="C101" s="575"/>
      <c r="D101" s="591"/>
      <c r="E101" s="592">
        <f>IF((C101-B101)/7+1/7+SUM($E$11:E100)&gt;250,(250-SUM($E$11:E100)), ((C101-B101)/7)+1/7)</f>
        <v>0</v>
      </c>
      <c r="F101" s="593">
        <f t="shared" si="3"/>
        <v>0</v>
      </c>
    </row>
    <row r="102" spans="2:6" ht="18" customHeight="1" outlineLevel="1">
      <c r="B102" s="590"/>
      <c r="C102" s="575"/>
      <c r="D102" s="591"/>
      <c r="E102" s="592">
        <f>IF((C102-B102)/7+1/7+SUM($E$11:E101)&gt;250,(250-SUM($E$11:E101)), ((C102-B102)/7)+1/7)</f>
        <v>0</v>
      </c>
      <c r="F102" s="593">
        <f t="shared" si="3"/>
        <v>0</v>
      </c>
    </row>
    <row r="103" spans="2:6" ht="18" customHeight="1" outlineLevel="1">
      <c r="B103" s="590"/>
      <c r="C103" s="575"/>
      <c r="D103" s="591"/>
      <c r="E103" s="592">
        <f>IF((C103-B103)/7+1/7+SUM($E$11:E102)&gt;250,(250-SUM($E$11:E102)), ((C103-B103)/7)+1/7)</f>
        <v>0</v>
      </c>
      <c r="F103" s="593">
        <f t="shared" si="3"/>
        <v>0</v>
      </c>
    </row>
    <row r="104" spans="2:6" ht="18" customHeight="1" outlineLevel="1">
      <c r="B104" s="590"/>
      <c r="C104" s="575"/>
      <c r="D104" s="591"/>
      <c r="E104" s="592">
        <f>IF((C104-B104)/7+1/7+SUM($E$11:E103)&gt;250,(250-SUM($E$11:E103)), ((C104-B104)/7)+1/7)</f>
        <v>0</v>
      </c>
      <c r="F104" s="593">
        <f t="shared" si="3"/>
        <v>0</v>
      </c>
    </row>
    <row r="105" spans="2:6" ht="18" customHeight="1" outlineLevel="1">
      <c r="B105" s="590"/>
      <c r="C105" s="575"/>
      <c r="D105" s="591"/>
      <c r="E105" s="592">
        <f>IF((C105-B105)/7+1/7+SUM($E$11:E104)&gt;250,(250-SUM($E$11:E104)), ((C105-B105)/7)+1/7)</f>
        <v>0</v>
      </c>
      <c r="F105" s="593">
        <f t="shared" si="3"/>
        <v>0</v>
      </c>
    </row>
    <row r="106" spans="2:6" ht="18" customHeight="1" outlineLevel="1">
      <c r="B106" s="590"/>
      <c r="C106" s="575"/>
      <c r="D106" s="591"/>
      <c r="E106" s="592">
        <f>IF((C106-B106)/7+1/7+SUM($E$11:E105)&gt;250,(250-SUM($E$11:E105)), ((C106-B106)/7)+1/7)</f>
        <v>0</v>
      </c>
      <c r="F106" s="593">
        <f t="shared" si="3"/>
        <v>0</v>
      </c>
    </row>
    <row r="107" spans="2:6" ht="18" customHeight="1" outlineLevel="1">
      <c r="B107" s="590"/>
      <c r="C107" s="575"/>
      <c r="D107" s="591"/>
      <c r="E107" s="592">
        <f>IF((C107-B107)/7+1/7+SUM($E$11:E106)&gt;250,(250-SUM($E$11:E106)), ((C107-B107)/7)+1/7)</f>
        <v>0</v>
      </c>
      <c r="F107" s="593">
        <f t="shared" si="3"/>
        <v>0</v>
      </c>
    </row>
    <row r="108" spans="2:6" ht="18" customHeight="1" outlineLevel="1">
      <c r="B108" s="590"/>
      <c r="C108" s="575"/>
      <c r="D108" s="591"/>
      <c r="E108" s="592">
        <f>IF((C108-B108)/7+1/7+SUM($E$11:E107)&gt;250,(250-SUM($E$11:E107)), ((C108-B108)/7)+1/7)</f>
        <v>0</v>
      </c>
      <c r="F108" s="593">
        <f t="shared" ref="F108:F123" si="4">IF(E108&gt;0,E108*D108,E108*D107)</f>
        <v>0</v>
      </c>
    </row>
    <row r="109" spans="2:6" ht="18" customHeight="1" outlineLevel="1">
      <c r="B109" s="590"/>
      <c r="C109" s="575"/>
      <c r="D109" s="591"/>
      <c r="E109" s="592">
        <f>IF((C109-B109)/7+1/7+SUM($E$11:E108)&gt;250,(250-SUM($E$11:E108)), ((C109-B109)/7)+1/7)</f>
        <v>0</v>
      </c>
      <c r="F109" s="593">
        <f t="shared" si="4"/>
        <v>0</v>
      </c>
    </row>
    <row r="110" spans="2:6" ht="18" customHeight="1" outlineLevel="1">
      <c r="B110" s="590"/>
      <c r="C110" s="575"/>
      <c r="D110" s="591"/>
      <c r="E110" s="592">
        <f>IF((C110-B110)/7+1/7+SUM($E$11:E109)&gt;250,(250-SUM($E$11:E109)), ((C110-B110)/7)+1/7)</f>
        <v>0</v>
      </c>
      <c r="F110" s="593">
        <f t="shared" si="4"/>
        <v>0</v>
      </c>
    </row>
    <row r="111" spans="2:6" ht="18" customHeight="1" outlineLevel="1">
      <c r="B111" s="590"/>
      <c r="C111" s="575"/>
      <c r="D111" s="591"/>
      <c r="E111" s="592">
        <f>IF((C111-B111)/7+1/7+SUM($E$11:E110)&gt;250,(250-SUM($E$11:E110)), ((C111-B111)/7)+1/7)</f>
        <v>0</v>
      </c>
      <c r="F111" s="593">
        <f t="shared" si="4"/>
        <v>0</v>
      </c>
    </row>
    <row r="112" spans="2:6" ht="18" customHeight="1" outlineLevel="1">
      <c r="B112" s="590"/>
      <c r="C112" s="575"/>
      <c r="D112" s="591"/>
      <c r="E112" s="592">
        <f>IF((C112-B112)/7+1/7+SUM($E$11:E111)&gt;250,(250-SUM($E$11:E111)), ((C112-B112)/7)+1/7)</f>
        <v>0</v>
      </c>
      <c r="F112" s="593">
        <f t="shared" si="4"/>
        <v>0</v>
      </c>
    </row>
    <row r="113" spans="2:6" ht="18" customHeight="1" outlineLevel="1">
      <c r="B113" s="590"/>
      <c r="C113" s="575"/>
      <c r="D113" s="591"/>
      <c r="E113" s="592">
        <f>IF((C113-B113)/7+1/7+SUM($E$11:E112)&gt;250,(250-SUM($E$11:E112)), ((C113-B113)/7)+1/7)</f>
        <v>0</v>
      </c>
      <c r="F113" s="593">
        <f t="shared" si="4"/>
        <v>0</v>
      </c>
    </row>
    <row r="114" spans="2:6" ht="18" customHeight="1" outlineLevel="1">
      <c r="B114" s="590"/>
      <c r="C114" s="575"/>
      <c r="D114" s="591"/>
      <c r="E114" s="592">
        <f>IF((C114-B114)/7+1/7+SUM($E$11:E113)&gt;250,(250-SUM($E$11:E113)), ((C114-B114)/7)+1/7)</f>
        <v>0</v>
      </c>
      <c r="F114" s="593">
        <f t="shared" si="4"/>
        <v>0</v>
      </c>
    </row>
    <row r="115" spans="2:6" ht="18" customHeight="1" outlineLevel="1">
      <c r="B115" s="590"/>
      <c r="C115" s="575"/>
      <c r="D115" s="591"/>
      <c r="E115" s="592">
        <f>IF((C115-B115)/7+1/7+SUM($E$11:E114)&gt;250,(250-SUM($E$11:E114)), ((C115-B115)/7)+1/7)</f>
        <v>0</v>
      </c>
      <c r="F115" s="593">
        <f t="shared" si="4"/>
        <v>0</v>
      </c>
    </row>
    <row r="116" spans="2:6" ht="18" customHeight="1" outlineLevel="1">
      <c r="B116" s="590"/>
      <c r="C116" s="575"/>
      <c r="D116" s="591"/>
      <c r="E116" s="592">
        <f>IF((C116-B116)/7+1/7+SUM($E$11:E115)&gt;250,(250-SUM($E$11:E115)), ((C116-B116)/7)+1/7)</f>
        <v>0</v>
      </c>
      <c r="F116" s="593">
        <f t="shared" si="4"/>
        <v>0</v>
      </c>
    </row>
    <row r="117" spans="2:6" ht="18" customHeight="1" outlineLevel="1">
      <c r="B117" s="590"/>
      <c r="C117" s="575"/>
      <c r="D117" s="591"/>
      <c r="E117" s="592">
        <f>IF((C117-B117)/7+1/7+SUM($E$11:E116)&gt;250,(250-SUM($E$11:E116)), ((C117-B117)/7)+1/7)</f>
        <v>0</v>
      </c>
      <c r="F117" s="593">
        <f t="shared" si="4"/>
        <v>0</v>
      </c>
    </row>
    <row r="118" spans="2:6" ht="18" customHeight="1" outlineLevel="1">
      <c r="B118" s="590"/>
      <c r="C118" s="575"/>
      <c r="D118" s="591"/>
      <c r="E118" s="592">
        <f>IF((C118-B118)/7+1/7+SUM($E$11:E117)&gt;250,(250-SUM($E$11:E117)), ((C118-B118)/7)+1/7)</f>
        <v>0</v>
      </c>
      <c r="F118" s="593">
        <f t="shared" si="4"/>
        <v>0</v>
      </c>
    </row>
    <row r="119" spans="2:6" ht="18" customHeight="1" outlineLevel="1">
      <c r="B119" s="590"/>
      <c r="C119" s="575"/>
      <c r="D119" s="591"/>
      <c r="E119" s="592">
        <f>IF((C119-B119)/7+1/7+SUM($E$11:E118)&gt;250,(250-SUM($E$11:E118)), ((C119-B119)/7)+1/7)</f>
        <v>0</v>
      </c>
      <c r="F119" s="593">
        <f t="shared" si="4"/>
        <v>0</v>
      </c>
    </row>
    <row r="120" spans="2:6" ht="18" customHeight="1" outlineLevel="1">
      <c r="B120" s="590"/>
      <c r="C120" s="575"/>
      <c r="D120" s="591"/>
      <c r="E120" s="592">
        <f>IF((C120-B120)/7+1/7+SUM($E$11:E119)&gt;250,(250-SUM($E$11:E119)), ((C120-B120)/7)+1/7)</f>
        <v>0</v>
      </c>
      <c r="F120" s="593">
        <f t="shared" si="4"/>
        <v>0</v>
      </c>
    </row>
    <row r="121" spans="2:6" ht="18" customHeight="1" outlineLevel="1">
      <c r="B121" s="590"/>
      <c r="C121" s="575"/>
      <c r="D121" s="591"/>
      <c r="E121" s="592">
        <f>IF((C121-B121)/7+1/7+SUM($E$11:E120)&gt;250,(250-SUM($E$11:E120)), ((C121-B121)/7)+1/7)</f>
        <v>0</v>
      </c>
      <c r="F121" s="593">
        <f t="shared" si="4"/>
        <v>0</v>
      </c>
    </row>
    <row r="122" spans="2:6" ht="18" customHeight="1" outlineLevel="1">
      <c r="B122" s="590"/>
      <c r="C122" s="575"/>
      <c r="D122" s="591"/>
      <c r="E122" s="592">
        <f>IF((C122-B122)/7+1/7+SUM($E$11:E121)&gt;250,(250-SUM($E$11:E121)), ((C122-B122)/7)+1/7)</f>
        <v>0</v>
      </c>
      <c r="F122" s="593">
        <f t="shared" si="4"/>
        <v>0</v>
      </c>
    </row>
    <row r="123" spans="2:6" ht="18" customHeight="1" outlineLevel="1" thickBot="1">
      <c r="B123" s="594"/>
      <c r="C123" s="595"/>
      <c r="D123" s="596"/>
      <c r="E123" s="592">
        <f>IF((C123-B123)/7+1/7+SUM($E$11:E122)&gt;250,(250-SUM($E$11:E122)), ((C123-B123)/7)+1/7)</f>
        <v>0</v>
      </c>
      <c r="F123" s="593">
        <f t="shared" si="4"/>
        <v>0</v>
      </c>
    </row>
    <row r="125" spans="2:6" ht="18" customHeight="1"/>
    <row r="126" spans="2:6" ht="18" customHeight="1"/>
    <row r="127" spans="2:6" ht="18" customHeight="1"/>
    <row r="128" spans="2:6" ht="18" customHeight="1"/>
    <row r="129" ht="18" customHeight="1"/>
    <row r="130" ht="18" customHeight="1"/>
    <row r="131" ht="18" customHeight="1"/>
    <row r="132" ht="18" customHeight="1"/>
    <row r="133" ht="18" customHeight="1"/>
    <row r="134" ht="18" customHeight="1"/>
    <row r="135" ht="18" customHeight="1"/>
    <row r="136" ht="18" customHeight="1"/>
    <row r="137" ht="18" customHeight="1"/>
    <row r="138" ht="18" customHeight="1"/>
  </sheetData>
  <sheetProtection algorithmName="SHA-512" hashValue="75uDlL5rd24H8Gp7lRH0YJ12wO0Qx7D6eFJzqSXKOJw7NEaHvbEAbDgfOedpQFtZefwmKCrbr7mAHJ7NVt0XQg==" saltValue="Qerp6+Iy1OLjn3YLqi2New==" spinCount="100000" sheet="1" objects="1" scenarios="1"/>
  <protectedRanges>
    <protectedRange sqref="B12:B123" name="Rango1"/>
    <protectedRange sqref="C24:C123" name="Rango2"/>
    <protectedRange sqref="B11" name="Rango1_1"/>
    <protectedRange sqref="C11:C23" name="Rango2_1"/>
    <protectedRange sqref="G1" name="Rango1_2"/>
  </protectedRanges>
  <mergeCells count="9">
    <mergeCell ref="A2:G2"/>
    <mergeCell ref="B4:G4"/>
    <mergeCell ref="B1:F1"/>
    <mergeCell ref="B9:D9"/>
    <mergeCell ref="E9:F9"/>
    <mergeCell ref="B7:C7"/>
    <mergeCell ref="B6:C6"/>
    <mergeCell ref="B5:D5"/>
    <mergeCell ref="A3:G3"/>
  </mergeCells>
  <conditionalFormatting sqref="E11:E123">
    <cfRule type="cellIs" dxfId="50" priority="1" operator="greaterThan">
      <formula>0</formula>
    </cfRule>
    <cfRule type="cellIs" dxfId="49" priority="2" operator="lessThanOrEqual">
      <formula>0.01</formula>
    </cfRule>
  </conditionalFormatting>
  <dataValidations count="4">
    <dataValidation operator="greaterThan" allowBlank="1" showInputMessage="1" errorTitle="Formato de fecha inválido" error="El dato debe ser una fecha válida en formato (DD/MM/AAAA)." sqref="D11:D123" xr:uid="{2A4039B4-A011-415E-8366-9BFD3020DC4F}"/>
    <dataValidation type="date" operator="greaterThan" allowBlank="1" showInputMessage="1" showErrorMessage="1" errorTitle="Formato de fecha inválido" error="El dato debe ser una fecha válida en formato (DD/MM/AAAA). La fecha de termino debe ser posterior a la fecha de inicio." sqref="C11:C23" xr:uid="{8321CF9D-9B51-4604-BC80-9C1DCD266BD0}">
      <formula1>B11</formula1>
    </dataValidation>
    <dataValidation type="date" operator="lessThan" allowBlank="1" showInputMessage="1" showErrorMessage="1" errorTitle="Formato de fecha inválido" error="El dato debe ser una fecha válida en formato (DD/MM/AAAA). La fecha de incio debe ser anterior a la fecha de término." sqref="B11:B123" xr:uid="{04280A40-1ACC-4ACA-84AF-22569B3FBCAC}">
      <formula1>C11</formula1>
    </dataValidation>
    <dataValidation type="date" operator="greaterThan" allowBlank="1" showInputMessage="1" showErrorMessage="1" errorTitle="Formato de fecha inválido" error="El dato debe ser una fecha válida en formato (DD/MM/AAAA). La fecha de término debe ser posterior a la fecha de término." sqref="C24:C123" xr:uid="{0EF40308-08A9-4B2D-9B7D-42277BED0C29}">
      <formula1>B24</formula1>
    </dataValidation>
  </dataValidations>
  <pageMargins left="0.70866141732283472" right="0.70866141732283472" top="0.74803149606299213" bottom="0.74803149606299213" header="0.31496062992125984" footer="0.31496062992125984"/>
  <pageSetup paperSize="194" scale="26"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H91"/>
  <sheetViews>
    <sheetView showGridLines="0" topLeftCell="J1" zoomScale="63" zoomScaleNormal="45" workbookViewId="0">
      <selection activeCell="O12" sqref="O12"/>
    </sheetView>
  </sheetViews>
  <sheetFormatPr baseColWidth="10" defaultColWidth="11.44140625" defaultRowHeight="13.2"/>
  <cols>
    <col min="1" max="1" width="10.5546875" style="71" customWidth="1"/>
    <col min="2" max="2" width="12.44140625" style="71" customWidth="1"/>
    <col min="3" max="3" width="9.5546875" style="71" customWidth="1"/>
    <col min="4" max="4" width="9.44140625" style="71" customWidth="1"/>
    <col min="5" max="5" width="4.5546875" style="71" customWidth="1"/>
    <col min="6" max="6" width="16.44140625" style="71" customWidth="1"/>
    <col min="7" max="7" width="25.44140625" style="71" customWidth="1"/>
    <col min="8" max="8" width="13.5546875" style="71" customWidth="1"/>
    <col min="9" max="9" width="19.77734375" style="71" bestFit="1" customWidth="1"/>
    <col min="10" max="10" width="20.109375" style="71" customWidth="1"/>
    <col min="11" max="11" width="18" style="71" customWidth="1"/>
    <col min="12" max="13" width="25.33203125" style="71" customWidth="1"/>
    <col min="14" max="16" width="11.44140625" style="71"/>
    <col min="17" max="17" width="13.109375" style="71" bestFit="1" customWidth="1"/>
    <col min="18" max="18" width="11.44140625" style="71"/>
    <col min="19" max="19" width="12.5546875" style="71" customWidth="1"/>
    <col min="20" max="16384" width="11.44140625" style="71"/>
  </cols>
  <sheetData>
    <row r="1" spans="1:34" ht="14.4">
      <c r="A1" s="799"/>
      <c r="B1" s="799"/>
      <c r="R1" s="71" t="s">
        <v>255</v>
      </c>
      <c r="X1" s="797" t="s">
        <v>320</v>
      </c>
      <c r="Y1" s="797"/>
      <c r="Z1"/>
      <c r="AA1" s="798" t="s">
        <v>321</v>
      </c>
      <c r="AB1" s="798"/>
      <c r="AC1"/>
      <c r="AD1"/>
      <c r="AE1"/>
      <c r="AG1" s="177" t="s">
        <v>60</v>
      </c>
      <c r="AH1" s="177" t="s">
        <v>334</v>
      </c>
    </row>
    <row r="2" spans="1:34" s="73" customFormat="1" ht="21" customHeight="1">
      <c r="A2" s="800" t="s">
        <v>19</v>
      </c>
      <c r="B2" s="800">
        <v>10</v>
      </c>
      <c r="C2" s="800"/>
      <c r="D2" s="800"/>
      <c r="F2" s="74" t="s">
        <v>20</v>
      </c>
      <c r="G2" s="74" t="s">
        <v>21</v>
      </c>
      <c r="H2" s="74" t="s">
        <v>22</v>
      </c>
      <c r="I2" s="74" t="s">
        <v>23</v>
      </c>
      <c r="J2" s="73" t="s">
        <v>84</v>
      </c>
      <c r="K2" s="74" t="s">
        <v>87</v>
      </c>
      <c r="L2" s="74" t="s">
        <v>251</v>
      </c>
      <c r="M2" s="317" t="s">
        <v>252</v>
      </c>
      <c r="N2" s="73" t="s">
        <v>93</v>
      </c>
      <c r="O2" s="72" t="s">
        <v>92</v>
      </c>
      <c r="P2" s="72" t="s">
        <v>96</v>
      </c>
      <c r="R2" s="73" t="s">
        <v>249</v>
      </c>
      <c r="S2" s="73" t="s">
        <v>250</v>
      </c>
      <c r="U2" s="73">
        <v>1</v>
      </c>
      <c r="X2" s="175" t="s">
        <v>322</v>
      </c>
      <c r="Y2" s="175" t="s">
        <v>323</v>
      </c>
      <c r="Z2" s="441"/>
      <c r="AA2" s="175" t="s">
        <v>322</v>
      </c>
      <c r="AB2" s="175" t="s">
        <v>324</v>
      </c>
      <c r="AC2" s="441"/>
      <c r="AD2" s="175" t="s">
        <v>326</v>
      </c>
      <c r="AE2" s="175" t="s">
        <v>325</v>
      </c>
      <c r="AG2" s="177">
        <v>47</v>
      </c>
      <c r="AH2" s="177">
        <v>60</v>
      </c>
    </row>
    <row r="3" spans="1:34" ht="14.4">
      <c r="A3" s="64">
        <v>0</v>
      </c>
      <c r="B3" s="65">
        <v>1</v>
      </c>
      <c r="C3" s="66">
        <v>0.8</v>
      </c>
      <c r="D3" s="67">
        <v>5.6299999999999996E-3</v>
      </c>
      <c r="F3" s="68">
        <f ca="1">+'DATOS GEN.'!E14</f>
        <v>57.509913141993955</v>
      </c>
      <c r="G3" s="68" t="str">
        <f ca="1">IF(F3&gt;=60, F3, "")</f>
        <v/>
      </c>
      <c r="H3" s="75">
        <v>0</v>
      </c>
      <c r="I3" s="75">
        <v>0</v>
      </c>
      <c r="J3" s="71" t="s">
        <v>85</v>
      </c>
      <c r="K3" s="71" t="s">
        <v>156</v>
      </c>
      <c r="L3" s="68">
        <f ca="1">+'DATOS GEN.'!E14</f>
        <v>57.509913141993955</v>
      </c>
      <c r="M3" s="320">
        <v>0</v>
      </c>
      <c r="N3" s="71">
        <v>2017</v>
      </c>
      <c r="O3" s="76">
        <v>75.489999999999995</v>
      </c>
      <c r="P3" s="77">
        <v>80.040000000000006</v>
      </c>
      <c r="R3" s="71">
        <v>0</v>
      </c>
      <c r="S3" s="320">
        <v>0</v>
      </c>
      <c r="U3" s="71">
        <v>2</v>
      </c>
      <c r="X3" s="442">
        <f ca="1">+IF((_xlfn.FORECAST.LINEAR(AD3, AA3:AA39, AB3:AB39)*0.7195&lt;FINANCIAMIENTO!C3),AE3,AE3/0.7195)</f>
        <v>349725.93097869033</v>
      </c>
      <c r="Y3" s="442">
        <f ca="1">+X3*0.7195</f>
        <v>251627.80733916772</v>
      </c>
      <c r="Z3"/>
      <c r="AA3" s="442">
        <v>149000</v>
      </c>
      <c r="AB3" s="442">
        <v>5338</v>
      </c>
      <c r="AC3"/>
      <c r="AD3" s="443">
        <f ca="1">+'PENSION MOD. 40'!C26*0.3</f>
        <v>21983.593494677367</v>
      </c>
      <c r="AE3" s="443">
        <f ca="1">+IF((_xlfn.FORECAST.LINEAR(AD3, AA3:AA39, AB3:AB39)*0.7195&lt;FINANCIAMIENTO!C3),(_xlfn.FORECAST.LINEAR(AD3, AA3:AA39, AB3:AB39)),FINANCIAMIENTO!C3)</f>
        <v>251627.80733916769</v>
      </c>
      <c r="AG3" s="177">
        <v>47.5</v>
      </c>
      <c r="AH3" s="177">
        <v>60.5</v>
      </c>
    </row>
    <row r="4" spans="1:34" ht="14.4">
      <c r="A4" s="64">
        <v>1.01</v>
      </c>
      <c r="B4" s="65">
        <v>1.25</v>
      </c>
      <c r="C4" s="66">
        <v>0.77110000000000001</v>
      </c>
      <c r="D4" s="67">
        <v>8.1399999999999997E-3</v>
      </c>
      <c r="F4" s="69">
        <v>60</v>
      </c>
      <c r="G4" s="68">
        <f ca="1">IF('DATOS GEN.'!$E$14&lt;=F4, F4, "")</f>
        <v>60</v>
      </c>
      <c r="H4" s="69">
        <v>1</v>
      </c>
      <c r="I4" s="69">
        <v>1</v>
      </c>
      <c r="J4" s="71" t="s">
        <v>86</v>
      </c>
      <c r="K4" s="68">
        <v>53</v>
      </c>
      <c r="L4" s="68" t="str">
        <f ca="1">IF('DATOS GEN.'!$E$14&lt;=K4, K4, "")</f>
        <v/>
      </c>
      <c r="M4" s="318">
        <v>1</v>
      </c>
      <c r="N4" s="71">
        <v>2018</v>
      </c>
      <c r="O4" s="76">
        <v>80.599999999999994</v>
      </c>
      <c r="P4" s="77">
        <v>88.36</v>
      </c>
      <c r="R4" s="71">
        <v>1</v>
      </c>
      <c r="S4" s="318">
        <v>1</v>
      </c>
      <c r="U4" s="71">
        <v>3</v>
      </c>
      <c r="X4" s="442"/>
      <c r="Y4" s="442"/>
      <c r="Z4"/>
      <c r="AA4" s="442">
        <v>150000</v>
      </c>
      <c r="AB4" s="442">
        <v>5373</v>
      </c>
      <c r="AC4"/>
      <c r="AD4"/>
      <c r="AE4"/>
      <c r="AG4" s="177">
        <v>48</v>
      </c>
      <c r="AH4" s="177">
        <v>61</v>
      </c>
    </row>
    <row r="5" spans="1:34" ht="14.4">
      <c r="A5" s="64">
        <v>1.26</v>
      </c>
      <c r="B5" s="65">
        <v>1.5</v>
      </c>
      <c r="C5" s="66">
        <v>0.58179999999999998</v>
      </c>
      <c r="D5" s="67">
        <v>1.1780000000000002E-2</v>
      </c>
      <c r="F5" s="68">
        <v>60.51</v>
      </c>
      <c r="G5" s="68">
        <f ca="1">IF('DATOS GEN.'!$E$14&lt;=F5, F5, "")</f>
        <v>60.51</v>
      </c>
      <c r="H5" s="69">
        <v>2</v>
      </c>
      <c r="I5" s="69">
        <v>2</v>
      </c>
      <c r="K5" s="68">
        <v>54</v>
      </c>
      <c r="L5" s="68" t="str">
        <f ca="1">IF('DATOS GEN.'!$E$14&lt;=K5, K5, "")</f>
        <v/>
      </c>
      <c r="M5" s="318">
        <v>2</v>
      </c>
      <c r="N5" s="71">
        <v>2019</v>
      </c>
      <c r="O5" s="76">
        <v>84.49</v>
      </c>
      <c r="P5" s="77">
        <v>102.68</v>
      </c>
      <c r="R5" s="71">
        <v>2</v>
      </c>
      <c r="S5" s="318">
        <v>2</v>
      </c>
      <c r="U5" s="71">
        <v>4</v>
      </c>
      <c r="X5" s="442"/>
      <c r="Y5" s="442"/>
      <c r="Z5"/>
      <c r="AA5" s="442">
        <v>152000</v>
      </c>
      <c r="AB5" s="442">
        <v>5444</v>
      </c>
      <c r="AC5"/>
      <c r="AD5"/>
      <c r="AE5"/>
      <c r="AG5" s="177">
        <v>48.5</v>
      </c>
      <c r="AH5" s="177">
        <v>61.5</v>
      </c>
    </row>
    <row r="6" spans="1:34" ht="14.4">
      <c r="A6" s="64">
        <v>1.51</v>
      </c>
      <c r="B6" s="65">
        <v>1.75</v>
      </c>
      <c r="C6" s="66">
        <v>0.49230000000000002</v>
      </c>
      <c r="D6" s="67">
        <v>1.43E-2</v>
      </c>
      <c r="F6" s="69">
        <v>61</v>
      </c>
      <c r="G6" s="68">
        <f ca="1">IF('DATOS GEN.'!$E$14&lt;=F6, F6, "")</f>
        <v>61</v>
      </c>
      <c r="H6" s="69">
        <v>3</v>
      </c>
      <c r="I6" s="78"/>
      <c r="K6" s="68">
        <v>55</v>
      </c>
      <c r="L6" s="68" t="str">
        <f ca="1">IF('DATOS GEN.'!$E$14&lt;=K6, K6, "")</f>
        <v/>
      </c>
      <c r="M6" s="318">
        <v>3</v>
      </c>
      <c r="N6" s="71">
        <v>2020</v>
      </c>
      <c r="O6" s="76">
        <v>86.88</v>
      </c>
      <c r="P6" s="77">
        <v>123.22</v>
      </c>
      <c r="R6" s="71">
        <v>3</v>
      </c>
      <c r="S6" s="318">
        <v>3</v>
      </c>
      <c r="U6" s="71">
        <v>5</v>
      </c>
      <c r="X6" s="442"/>
      <c r="Y6" s="442"/>
      <c r="Z6"/>
      <c r="AA6" s="442">
        <v>159000</v>
      </c>
      <c r="AB6" s="442">
        <v>5709</v>
      </c>
      <c r="AC6"/>
      <c r="AD6"/>
      <c r="AE6"/>
      <c r="AG6" s="177">
        <v>49</v>
      </c>
      <c r="AH6" s="177">
        <v>62</v>
      </c>
    </row>
    <row r="7" spans="1:34" ht="14.4">
      <c r="A7" s="64">
        <v>1.76</v>
      </c>
      <c r="B7" s="65">
        <v>2</v>
      </c>
      <c r="C7" s="66">
        <v>0.42670000000000002</v>
      </c>
      <c r="D7" s="67">
        <v>1.6150000000000001E-2</v>
      </c>
      <c r="F7" s="68">
        <v>61.51</v>
      </c>
      <c r="G7" s="68">
        <f ca="1">IF('DATOS GEN.'!$E$14&lt;=F7, F7, "")</f>
        <v>61.51</v>
      </c>
      <c r="H7" s="69">
        <v>4</v>
      </c>
      <c r="I7" s="78"/>
      <c r="K7" s="68">
        <v>56</v>
      </c>
      <c r="L7" s="68" t="str">
        <f ca="1">IF('DATOS GEN.'!$E$14&lt;=K7, K7, "")</f>
        <v/>
      </c>
      <c r="M7" s="318">
        <v>4</v>
      </c>
      <c r="N7" s="71">
        <v>2021</v>
      </c>
      <c r="O7" s="76">
        <v>89.62</v>
      </c>
      <c r="P7" s="77">
        <v>141.69999999999999</v>
      </c>
      <c r="R7" s="71">
        <v>4</v>
      </c>
      <c r="S7" s="318">
        <v>4</v>
      </c>
      <c r="U7" s="71">
        <v>6</v>
      </c>
      <c r="X7" s="442"/>
      <c r="Y7" s="442"/>
      <c r="Z7"/>
      <c r="AA7" s="442">
        <v>173000</v>
      </c>
      <c r="AB7" s="442">
        <v>6211</v>
      </c>
      <c r="AC7"/>
      <c r="AD7"/>
      <c r="AE7"/>
      <c r="AG7" s="177">
        <v>49.5</v>
      </c>
      <c r="AH7" s="177">
        <v>62.5</v>
      </c>
    </row>
    <row r="8" spans="1:34" ht="14.4">
      <c r="A8" s="64">
        <v>2.0099999999999998</v>
      </c>
      <c r="B8" s="65">
        <v>2.25</v>
      </c>
      <c r="C8" s="66">
        <v>0.3765</v>
      </c>
      <c r="D8" s="67">
        <v>1.7559999999999999E-2</v>
      </c>
      <c r="F8" s="69">
        <v>62</v>
      </c>
      <c r="G8" s="68">
        <f ca="1">IF('DATOS GEN.'!$E$14&lt;=F8, F8, "")</f>
        <v>62</v>
      </c>
      <c r="H8" s="69">
        <v>5</v>
      </c>
      <c r="I8" s="78"/>
      <c r="K8" s="68">
        <v>57</v>
      </c>
      <c r="L8" s="68" t="str">
        <f ca="1">IF('DATOS GEN.'!$E$14&lt;=K8, K8, "")</f>
        <v/>
      </c>
      <c r="M8" s="318">
        <v>5</v>
      </c>
      <c r="N8" s="71">
        <v>2022</v>
      </c>
      <c r="O8" s="76">
        <v>96.22</v>
      </c>
      <c r="P8" s="77">
        <v>172.87</v>
      </c>
      <c r="R8" s="71">
        <v>5</v>
      </c>
      <c r="S8" s="318">
        <v>5</v>
      </c>
      <c r="U8" s="71">
        <v>7</v>
      </c>
      <c r="X8" s="442"/>
      <c r="Y8" s="442"/>
      <c r="Z8"/>
      <c r="AA8" s="442">
        <v>175000</v>
      </c>
      <c r="AB8" s="442">
        <v>6274</v>
      </c>
      <c r="AC8"/>
      <c r="AD8"/>
      <c r="AE8"/>
      <c r="AG8" s="177">
        <v>50</v>
      </c>
      <c r="AH8" s="177">
        <v>63</v>
      </c>
    </row>
    <row r="9" spans="1:34" ht="14.4">
      <c r="A9" s="64">
        <v>2.2599999999999998</v>
      </c>
      <c r="B9" s="65">
        <v>2.5</v>
      </c>
      <c r="C9" s="66">
        <v>0.33679999999999999</v>
      </c>
      <c r="D9" s="67">
        <v>1.8679999999999999E-2</v>
      </c>
      <c r="F9" s="68">
        <v>62.51</v>
      </c>
      <c r="G9" s="68">
        <f ca="1">IF('DATOS GEN.'!$E$14&lt;=F9, F9, "")</f>
        <v>62.51</v>
      </c>
      <c r="H9" s="69"/>
      <c r="I9" s="78"/>
      <c r="K9" s="68">
        <v>58</v>
      </c>
      <c r="L9" s="68">
        <f ca="1">IF('DATOS GEN.'!$E$14&lt;=K9, K9, "")</f>
        <v>58</v>
      </c>
      <c r="M9" s="318">
        <v>6</v>
      </c>
      <c r="N9" s="71">
        <v>2023</v>
      </c>
      <c r="O9" s="76">
        <v>103.74</v>
      </c>
      <c r="P9" s="77">
        <v>207.44</v>
      </c>
      <c r="S9" s="318">
        <v>6</v>
      </c>
      <c r="U9" s="71">
        <v>8</v>
      </c>
      <c r="X9" s="442"/>
      <c r="Y9" s="442"/>
      <c r="Z9"/>
      <c r="AA9" s="442">
        <v>177000</v>
      </c>
      <c r="AB9" s="442">
        <v>6364</v>
      </c>
      <c r="AC9"/>
      <c r="AD9"/>
      <c r="AE9"/>
      <c r="AG9" s="177">
        <v>50.5</v>
      </c>
      <c r="AH9" s="177">
        <v>63.5</v>
      </c>
    </row>
    <row r="10" spans="1:34" ht="14.4">
      <c r="A10" s="64">
        <v>2.5099999999999998</v>
      </c>
      <c r="B10" s="65">
        <v>2.75</v>
      </c>
      <c r="C10" s="66">
        <v>0.30480000000000002</v>
      </c>
      <c r="D10" s="67">
        <v>1.958E-2</v>
      </c>
      <c r="F10" s="69">
        <v>63</v>
      </c>
      <c r="G10" s="68">
        <f ca="1">IF('DATOS GEN.'!$E$14&lt;=F10, F10, "")</f>
        <v>63</v>
      </c>
      <c r="H10" s="68"/>
      <c r="I10" s="78"/>
      <c r="K10" s="68">
        <v>59</v>
      </c>
      <c r="L10" s="68">
        <f ca="1">IF('DATOS GEN.'!$E$14&lt;=K10, K10, "")</f>
        <v>59</v>
      </c>
      <c r="M10" s="318">
        <v>7</v>
      </c>
      <c r="N10" s="71">
        <v>2024</v>
      </c>
      <c r="O10" s="76">
        <f>108.57</f>
        <v>108.57</v>
      </c>
      <c r="P10" s="77">
        <v>248.93</v>
      </c>
      <c r="S10" s="318">
        <v>7</v>
      </c>
      <c r="U10" s="71">
        <v>9</v>
      </c>
      <c r="X10" s="442"/>
      <c r="Y10" s="442"/>
      <c r="Z10"/>
      <c r="AA10" s="442">
        <v>178000</v>
      </c>
      <c r="AB10" s="442">
        <v>6403</v>
      </c>
      <c r="AC10"/>
      <c r="AD10"/>
      <c r="AE10"/>
      <c r="AG10" s="177">
        <v>51</v>
      </c>
      <c r="AH10" s="177">
        <v>64</v>
      </c>
    </row>
    <row r="11" spans="1:34" ht="14.4">
      <c r="A11" s="64">
        <v>2.76</v>
      </c>
      <c r="B11" s="65">
        <v>3</v>
      </c>
      <c r="C11" s="66">
        <v>0.27829999999999999</v>
      </c>
      <c r="D11" s="67">
        <v>2.0330000000000001E-2</v>
      </c>
      <c r="F11" s="68">
        <v>63.51</v>
      </c>
      <c r="G11" s="68">
        <f ca="1">IF('DATOS GEN.'!$E$14&lt;=F11, F11, "")</f>
        <v>63.51</v>
      </c>
      <c r="H11" s="69"/>
      <c r="I11" s="78"/>
      <c r="K11" s="68">
        <v>60</v>
      </c>
      <c r="L11" s="68">
        <f ca="1">IF('DATOS GEN.'!$E$14&lt;=K11, K11, "")</f>
        <v>60</v>
      </c>
      <c r="M11" s="318">
        <v>8</v>
      </c>
      <c r="N11" s="71">
        <v>2025</v>
      </c>
      <c r="O11" s="76">
        <v>113.14</v>
      </c>
      <c r="P11" s="77">
        <v>278.8</v>
      </c>
      <c r="S11" s="318">
        <v>8</v>
      </c>
      <c r="U11" s="71">
        <v>10</v>
      </c>
      <c r="X11" s="442"/>
      <c r="Y11" s="442"/>
      <c r="Z11"/>
      <c r="AA11" s="442">
        <v>182000</v>
      </c>
      <c r="AB11" s="442">
        <v>6570</v>
      </c>
      <c r="AC11"/>
      <c r="AD11"/>
      <c r="AE11"/>
      <c r="AG11" s="177">
        <v>51.5</v>
      </c>
      <c r="AH11" s="177">
        <v>64.5</v>
      </c>
    </row>
    <row r="12" spans="1:34" ht="14.4">
      <c r="A12" s="64">
        <v>3.01</v>
      </c>
      <c r="B12" s="65">
        <v>3.25</v>
      </c>
      <c r="C12" s="66">
        <v>0.25600000000000001</v>
      </c>
      <c r="D12" s="67">
        <v>2.0959999999999999E-2</v>
      </c>
      <c r="F12" s="69">
        <v>64</v>
      </c>
      <c r="G12" s="68">
        <f ca="1">IF('DATOS GEN.'!$E$14&lt;=F12, F12, "")</f>
        <v>64</v>
      </c>
      <c r="H12" s="68"/>
      <c r="I12" s="78"/>
      <c r="K12" s="68">
        <v>61</v>
      </c>
      <c r="L12" s="68">
        <f ca="1">IF('DATOS GEN.'!$E$14&lt;=K12, K12, "")</f>
        <v>61</v>
      </c>
      <c r="M12" s="318">
        <v>9</v>
      </c>
      <c r="N12" s="71">
        <v>2026</v>
      </c>
      <c r="O12" s="749">
        <v>117.31</v>
      </c>
      <c r="P12" s="725">
        <v>315.04000000000002</v>
      </c>
      <c r="S12" s="318">
        <v>9</v>
      </c>
      <c r="U12" s="71" t="s">
        <v>209</v>
      </c>
      <c r="X12" s="442"/>
      <c r="Y12" s="442"/>
      <c r="Z12"/>
      <c r="AA12" s="442">
        <v>185000</v>
      </c>
      <c r="AB12" s="442">
        <v>6660</v>
      </c>
      <c r="AC12"/>
      <c r="AD12"/>
      <c r="AE12"/>
      <c r="AG12" s="177">
        <v>52</v>
      </c>
      <c r="AH12" s="177">
        <v>65</v>
      </c>
    </row>
    <row r="13" spans="1:34" ht="14.4">
      <c r="A13" s="64">
        <v>3.26</v>
      </c>
      <c r="B13" s="65">
        <v>3.5</v>
      </c>
      <c r="C13" s="66">
        <v>0.23699999999999999</v>
      </c>
      <c r="D13" s="67">
        <v>2.1489999999999999E-2</v>
      </c>
      <c r="F13" s="68">
        <v>64.510000000000005</v>
      </c>
      <c r="G13" s="68">
        <f ca="1">IF('DATOS GEN.'!$E$14&lt;=F13, F13, "")</f>
        <v>64.510000000000005</v>
      </c>
      <c r="H13" s="69"/>
      <c r="I13" s="78"/>
      <c r="K13" s="68">
        <v>62</v>
      </c>
      <c r="L13" s="68">
        <f ca="1">IF('DATOS GEN.'!$E$14&lt;=K13, K13, "")</f>
        <v>62</v>
      </c>
      <c r="M13" s="318">
        <v>10</v>
      </c>
      <c r="N13" s="71">
        <v>2027</v>
      </c>
      <c r="O13" s="76">
        <f t="shared" ref="O13:O29" si="0">+O12*(1+4.5%)</f>
        <v>122.58895</v>
      </c>
      <c r="P13" s="77">
        <f t="shared" ref="P13:P29" si="1">+P12*1.057</f>
        <v>332.99727999999999</v>
      </c>
      <c r="S13" s="318">
        <v>10</v>
      </c>
      <c r="X13" s="442"/>
      <c r="Y13" s="442"/>
      <c r="Z13"/>
      <c r="AA13" s="442">
        <v>192000</v>
      </c>
      <c r="AB13" s="442">
        <v>6887</v>
      </c>
      <c r="AC13"/>
      <c r="AD13"/>
      <c r="AE13"/>
      <c r="AG13" s="177">
        <v>52.5</v>
      </c>
      <c r="AH13" s="177"/>
    </row>
    <row r="14" spans="1:34" ht="14.4">
      <c r="A14" s="64">
        <v>3.51</v>
      </c>
      <c r="B14" s="65">
        <v>3.75</v>
      </c>
      <c r="C14" s="66">
        <v>0.22070000000000001</v>
      </c>
      <c r="D14" s="67">
        <v>2.1950000000000004E-2</v>
      </c>
      <c r="F14" s="69">
        <v>65</v>
      </c>
      <c r="G14" s="68">
        <f ca="1">IF('DATOS GEN.'!$E$14&lt;=F14, F14, "")</f>
        <v>65</v>
      </c>
      <c r="H14" s="78"/>
      <c r="I14" s="78"/>
      <c r="K14" s="68">
        <v>63</v>
      </c>
      <c r="L14" s="68">
        <f ca="1">IF('DATOS GEN.'!$E$14&lt;=K14, K14, "")</f>
        <v>63</v>
      </c>
      <c r="M14" s="318">
        <v>11</v>
      </c>
      <c r="N14" s="71">
        <v>2028</v>
      </c>
      <c r="O14" s="76">
        <f t="shared" si="0"/>
        <v>128.10545274999998</v>
      </c>
      <c r="P14" s="77">
        <f t="shared" si="1"/>
        <v>351.97812495999995</v>
      </c>
      <c r="S14" s="318">
        <v>11</v>
      </c>
      <c r="X14" s="442"/>
      <c r="Y14" s="442"/>
      <c r="Z14"/>
      <c r="AA14" s="442">
        <v>198000</v>
      </c>
      <c r="AB14" s="442">
        <v>7097</v>
      </c>
      <c r="AC14"/>
      <c r="AD14"/>
      <c r="AE14"/>
      <c r="AG14" s="177">
        <v>53</v>
      </c>
      <c r="AH14" s="177"/>
    </row>
    <row r="15" spans="1:34" ht="14.4">
      <c r="A15" s="64">
        <v>3.76</v>
      </c>
      <c r="B15" s="65">
        <v>4</v>
      </c>
      <c r="C15" s="66">
        <v>0.20649999999999999</v>
      </c>
      <c r="D15" s="67">
        <v>2.2349999999999998E-2</v>
      </c>
      <c r="F15" s="68">
        <v>65.510000000000005</v>
      </c>
      <c r="G15" s="68">
        <f ca="1">IF('DATOS GEN.'!$E$14&lt;=F15, F15, "")</f>
        <v>65.510000000000005</v>
      </c>
      <c r="H15" s="70"/>
      <c r="I15" s="70"/>
      <c r="K15" s="68">
        <v>64</v>
      </c>
      <c r="L15" s="68">
        <f ca="1">IF('DATOS GEN.'!$E$14&lt;=K15, K15, "")</f>
        <v>64</v>
      </c>
      <c r="M15" s="68"/>
      <c r="N15" s="71">
        <v>2029</v>
      </c>
      <c r="O15" s="76">
        <f t="shared" si="0"/>
        <v>133.87019812374999</v>
      </c>
      <c r="P15" s="77">
        <f t="shared" si="1"/>
        <v>372.04087808271993</v>
      </c>
      <c r="X15" s="442"/>
      <c r="Y15" s="442"/>
      <c r="Z15"/>
      <c r="AA15" s="442">
        <v>201000</v>
      </c>
      <c r="AB15" s="442">
        <v>7205</v>
      </c>
      <c r="AC15"/>
      <c r="AD15"/>
      <c r="AE15"/>
      <c r="AG15" s="177">
        <v>53.5</v>
      </c>
      <c r="AH15" s="177"/>
    </row>
    <row r="16" spans="1:34" ht="14.4">
      <c r="A16" s="64">
        <v>4.01</v>
      </c>
      <c r="B16" s="65">
        <v>4.25</v>
      </c>
      <c r="C16" s="66">
        <v>0.19389999999999999</v>
      </c>
      <c r="D16" s="67">
        <v>2.2709999999999998E-2</v>
      </c>
      <c r="F16" s="69">
        <v>66</v>
      </c>
      <c r="G16" s="68">
        <f ca="1">IF('DATOS GEN.'!$E$14&lt;=F16, F16, "")</f>
        <v>66</v>
      </c>
      <c r="H16" s="70"/>
      <c r="I16" s="70"/>
      <c r="K16" s="68">
        <v>65</v>
      </c>
      <c r="L16" s="68">
        <f ca="1">IF('DATOS GEN.'!$E$14&lt;=K16, K16, "")</f>
        <v>65</v>
      </c>
      <c r="M16" s="68"/>
      <c r="N16" s="71">
        <v>2030</v>
      </c>
      <c r="O16" s="76">
        <f t="shared" si="0"/>
        <v>139.89435703931872</v>
      </c>
      <c r="P16" s="77">
        <f t="shared" si="1"/>
        <v>393.24720813343492</v>
      </c>
      <c r="X16" s="442"/>
      <c r="Y16" s="442"/>
      <c r="Z16"/>
      <c r="AA16" s="442">
        <v>215000</v>
      </c>
      <c r="AB16" s="442">
        <v>7707</v>
      </c>
      <c r="AC16"/>
      <c r="AD16"/>
      <c r="AE16"/>
      <c r="AG16" s="177">
        <v>54</v>
      </c>
      <c r="AH16" s="177"/>
    </row>
    <row r="17" spans="1:34" ht="14.4">
      <c r="A17" s="64">
        <v>4.26</v>
      </c>
      <c r="B17" s="65">
        <v>4.5</v>
      </c>
      <c r="C17" s="66">
        <v>0.18290000000000001</v>
      </c>
      <c r="D17" s="67">
        <v>2.3019999999999999E-2</v>
      </c>
      <c r="F17" s="68">
        <v>66.510000000000005</v>
      </c>
      <c r="G17" s="68">
        <f ca="1">IF('DATOS GEN.'!$E$14&lt;=F17, F17, "")</f>
        <v>66.510000000000005</v>
      </c>
      <c r="H17" s="70"/>
      <c r="I17" s="70"/>
      <c r="K17" s="68">
        <v>66</v>
      </c>
      <c r="L17" s="68">
        <f ca="1">IF('DATOS GEN.'!$E$14&lt;=K17, K17, "")</f>
        <v>66</v>
      </c>
      <c r="M17" s="68"/>
      <c r="N17" s="71">
        <v>2031</v>
      </c>
      <c r="O17" s="76">
        <f t="shared" si="0"/>
        <v>146.18960310608804</v>
      </c>
      <c r="P17" s="77">
        <f t="shared" si="1"/>
        <v>415.66229899704069</v>
      </c>
      <c r="X17" s="442"/>
      <c r="Y17" s="442"/>
      <c r="Z17"/>
      <c r="AA17" s="442">
        <v>238000</v>
      </c>
      <c r="AB17" s="442">
        <v>8544</v>
      </c>
      <c r="AC17"/>
      <c r="AD17"/>
      <c r="AE17"/>
      <c r="AG17" s="177">
        <v>54.5</v>
      </c>
      <c r="AH17" s="177"/>
    </row>
    <row r="18" spans="1:34" ht="14.4">
      <c r="A18" s="64">
        <v>4.51</v>
      </c>
      <c r="B18" s="65">
        <v>4.75</v>
      </c>
      <c r="C18" s="66">
        <v>0.17299999999999999</v>
      </c>
      <c r="D18" s="67">
        <v>2.3300000000000001E-2</v>
      </c>
      <c r="F18" s="68">
        <v>67</v>
      </c>
      <c r="G18" s="68">
        <f ca="1">IF('DATOS GEN.'!$E$14&lt;=F18, F18, "")</f>
        <v>67</v>
      </c>
      <c r="H18" s="70"/>
      <c r="I18" s="70"/>
      <c r="K18" s="68">
        <v>67</v>
      </c>
      <c r="L18" s="68">
        <f ca="1">IF('DATOS GEN.'!$E$14&lt;=K18, K18, "")</f>
        <v>67</v>
      </c>
      <c r="M18" s="68"/>
      <c r="N18" s="71">
        <v>2032</v>
      </c>
      <c r="O18" s="76">
        <f t="shared" si="0"/>
        <v>152.768135245862</v>
      </c>
      <c r="P18" s="77">
        <f t="shared" si="1"/>
        <v>439.35505003987197</v>
      </c>
      <c r="X18" s="442"/>
      <c r="Y18" s="442"/>
      <c r="Z18"/>
      <c r="AA18" s="442">
        <v>239000</v>
      </c>
      <c r="AB18" s="442">
        <v>8562</v>
      </c>
      <c r="AC18"/>
      <c r="AD18"/>
      <c r="AE18"/>
      <c r="AG18" s="177">
        <v>55</v>
      </c>
      <c r="AH18" s="177"/>
    </row>
    <row r="19" spans="1:34" ht="14.4">
      <c r="A19" s="64">
        <v>4.76</v>
      </c>
      <c r="B19" s="65">
        <v>5</v>
      </c>
      <c r="C19" s="66">
        <v>0.1641</v>
      </c>
      <c r="D19" s="67">
        <v>2.3550000000000001E-2</v>
      </c>
      <c r="F19" s="68">
        <v>67.510000000000005</v>
      </c>
      <c r="G19" s="68">
        <f ca="1">IF('DATOS GEN.'!$E$14&lt;=F19, F19, "")</f>
        <v>67.510000000000005</v>
      </c>
      <c r="H19" s="70"/>
      <c r="I19" s="70"/>
      <c r="K19" s="68">
        <v>68</v>
      </c>
      <c r="L19" s="68">
        <f ca="1">IF('DATOS GEN.'!$E$14&lt;=K19, K19, "")</f>
        <v>68</v>
      </c>
      <c r="M19" s="68"/>
      <c r="N19" s="71">
        <v>2033</v>
      </c>
      <c r="O19" s="76">
        <f t="shared" si="0"/>
        <v>159.64270133192576</v>
      </c>
      <c r="P19" s="77">
        <f t="shared" si="1"/>
        <v>464.39828789214465</v>
      </c>
      <c r="X19" s="442"/>
      <c r="Y19" s="442"/>
      <c r="Z19"/>
      <c r="AA19" s="442">
        <v>244000</v>
      </c>
      <c r="AB19" s="442">
        <v>8771</v>
      </c>
      <c r="AC19"/>
      <c r="AD19"/>
      <c r="AE19"/>
      <c r="AG19" s="177">
        <v>55.5</v>
      </c>
      <c r="AH19" s="177"/>
    </row>
    <row r="20" spans="1:34" ht="14.4">
      <c r="A20" s="64">
        <v>5.01</v>
      </c>
      <c r="B20" s="65">
        <v>5.25</v>
      </c>
      <c r="C20" s="66">
        <v>0.15609999999999999</v>
      </c>
      <c r="D20" s="67">
        <v>2.3769999999999999E-2</v>
      </c>
      <c r="F20" s="69">
        <v>68</v>
      </c>
      <c r="G20" s="68">
        <f ca="1">IF('DATOS GEN.'!$E$14&lt;=F20, F20, "")</f>
        <v>68</v>
      </c>
      <c r="H20" s="70"/>
      <c r="I20" s="70"/>
      <c r="K20" s="68">
        <v>69</v>
      </c>
      <c r="L20" s="68">
        <f ca="1">IF('DATOS GEN.'!$E$14&lt;=K20, K20, "")</f>
        <v>69</v>
      </c>
      <c r="M20" s="68"/>
      <c r="N20" s="71">
        <v>2034</v>
      </c>
      <c r="O20" s="76">
        <f t="shared" si="0"/>
        <v>166.8266228918624</v>
      </c>
      <c r="P20" s="77">
        <f t="shared" si="1"/>
        <v>490.86899030199686</v>
      </c>
      <c r="X20" s="442"/>
      <c r="Y20" s="442"/>
      <c r="Z20"/>
      <c r="AA20" s="442">
        <v>245000</v>
      </c>
      <c r="AB20" s="442">
        <v>8807</v>
      </c>
      <c r="AC20"/>
      <c r="AD20"/>
      <c r="AE20"/>
      <c r="AG20" s="177">
        <v>56</v>
      </c>
      <c r="AH20" s="177"/>
    </row>
    <row r="21" spans="1:34" ht="14.4">
      <c r="A21" s="64">
        <v>5.26</v>
      </c>
      <c r="B21" s="65">
        <v>5.5</v>
      </c>
      <c r="C21" s="66">
        <v>0.14879999999999999</v>
      </c>
      <c r="D21" s="67">
        <v>2.3980000000000001E-2</v>
      </c>
      <c r="F21" s="68">
        <v>68.510000000000005</v>
      </c>
      <c r="G21" s="68">
        <f ca="1">IF('DATOS GEN.'!$E$14&lt;=F21, F21, "")</f>
        <v>68.510000000000005</v>
      </c>
      <c r="K21" s="68">
        <v>70</v>
      </c>
      <c r="L21" s="68">
        <f ca="1">IF('DATOS GEN.'!$E$14&lt;=K21, K21, "")</f>
        <v>70</v>
      </c>
      <c r="M21" s="68"/>
      <c r="N21" s="71">
        <v>2035</v>
      </c>
      <c r="O21" s="76">
        <f t="shared" si="0"/>
        <v>174.33382092199619</v>
      </c>
      <c r="P21" s="77">
        <f t="shared" si="1"/>
        <v>518.8485227492107</v>
      </c>
      <c r="X21" s="442"/>
      <c r="Y21" s="442"/>
      <c r="Z21"/>
      <c r="AA21" s="442">
        <v>253000</v>
      </c>
      <c r="AB21" s="442">
        <v>9082</v>
      </c>
      <c r="AC21"/>
      <c r="AD21"/>
      <c r="AE21"/>
      <c r="AG21" s="177">
        <v>56.5</v>
      </c>
      <c r="AH21" s="177"/>
    </row>
    <row r="22" spans="1:34" ht="14.4">
      <c r="A22" s="64">
        <v>5.51</v>
      </c>
      <c r="B22" s="65">
        <v>5.75</v>
      </c>
      <c r="C22" s="66">
        <v>0.14219999999999999</v>
      </c>
      <c r="D22" s="67">
        <v>2.4160000000000001E-2</v>
      </c>
      <c r="F22" s="69">
        <v>69</v>
      </c>
      <c r="G22" s="68">
        <f ca="1">IF('DATOS GEN.'!$E$14&lt;=F22, F22, "")</f>
        <v>69</v>
      </c>
      <c r="L22" s="68" t="str">
        <f ca="1">IF('DATOS GEN.'!$E$14&lt;=K22, K22, "")</f>
        <v/>
      </c>
      <c r="M22" s="68"/>
      <c r="N22" s="71">
        <v>2036</v>
      </c>
      <c r="O22" s="76">
        <f t="shared" si="0"/>
        <v>182.17884286348601</v>
      </c>
      <c r="P22" s="77">
        <f t="shared" si="1"/>
        <v>548.42288854591573</v>
      </c>
      <c r="X22" s="442"/>
      <c r="Y22" s="442"/>
      <c r="Z22"/>
      <c r="AA22" s="442">
        <v>276000</v>
      </c>
      <c r="AB22" s="442">
        <v>9910</v>
      </c>
      <c r="AC22"/>
      <c r="AD22"/>
      <c r="AE22"/>
      <c r="AG22" s="177">
        <v>57</v>
      </c>
      <c r="AH22" s="177"/>
    </row>
    <row r="23" spans="1:34" ht="14.4">
      <c r="A23" s="64">
        <v>5.76</v>
      </c>
      <c r="B23" s="65">
        <v>6</v>
      </c>
      <c r="C23" s="66">
        <v>0.13619999999999999</v>
      </c>
      <c r="D23" s="67">
        <v>2.4330000000000004E-2</v>
      </c>
      <c r="F23" s="68">
        <v>69.510000000000005</v>
      </c>
      <c r="G23" s="68">
        <f ca="1">IF('DATOS GEN.'!$E$14&lt;=F23, F23, "")</f>
        <v>69.510000000000005</v>
      </c>
      <c r="K23" s="68"/>
      <c r="L23" s="68" t="str">
        <f ca="1">IF('DATOS GEN.'!$E$14&lt;=K23, K23, "")</f>
        <v/>
      </c>
      <c r="M23" s="68"/>
      <c r="N23" s="71">
        <v>2037</v>
      </c>
      <c r="O23" s="76">
        <f t="shared" si="0"/>
        <v>190.37689079234286</v>
      </c>
      <c r="P23" s="77">
        <f t="shared" si="1"/>
        <v>579.68299319303287</v>
      </c>
      <c r="X23" s="442"/>
      <c r="Y23" s="442"/>
      <c r="Z23"/>
      <c r="AA23" s="442">
        <v>282000</v>
      </c>
      <c r="AB23" s="442">
        <v>10099</v>
      </c>
      <c r="AC23"/>
      <c r="AD23"/>
      <c r="AE23"/>
      <c r="AG23" s="177">
        <v>57.5</v>
      </c>
      <c r="AH23" s="177"/>
    </row>
    <row r="24" spans="1:34" ht="14.4">
      <c r="A24" s="64">
        <v>6.01</v>
      </c>
      <c r="B24" s="65"/>
      <c r="C24" s="66">
        <v>0.13</v>
      </c>
      <c r="D24" s="67">
        <v>2.4500000000000001E-2</v>
      </c>
      <c r="F24" s="69">
        <v>70</v>
      </c>
      <c r="G24" s="68">
        <f ca="1">IF('DATOS GEN.'!$E$14&lt;=F24, F24, "")</f>
        <v>70</v>
      </c>
      <c r="L24" s="68" t="str">
        <f ca="1">IF('DATOS GEN.'!$E$14&lt;=K24, K24, "")</f>
        <v/>
      </c>
      <c r="M24" s="68"/>
      <c r="N24" s="71">
        <v>2038</v>
      </c>
      <c r="O24" s="76">
        <f t="shared" si="0"/>
        <v>198.94385087799827</v>
      </c>
      <c r="P24" s="77">
        <f t="shared" si="1"/>
        <v>612.7249238050357</v>
      </c>
      <c r="X24" s="442"/>
      <c r="Y24" s="442"/>
      <c r="Z24"/>
      <c r="AA24" s="442">
        <v>284000</v>
      </c>
      <c r="AB24" s="442">
        <v>10196</v>
      </c>
      <c r="AC24"/>
      <c r="AD24"/>
      <c r="AE24"/>
      <c r="AG24" s="177">
        <v>58</v>
      </c>
      <c r="AH24" s="177"/>
    </row>
    <row r="25" spans="1:34" ht="14.4">
      <c r="D25" s="79"/>
      <c r="N25" s="71">
        <v>2039</v>
      </c>
      <c r="O25" s="76">
        <f t="shared" si="0"/>
        <v>207.89632416750817</v>
      </c>
      <c r="P25" s="77">
        <f t="shared" si="1"/>
        <v>647.65024446192274</v>
      </c>
      <c r="X25" s="442"/>
      <c r="Y25" s="442"/>
      <c r="Z25"/>
      <c r="AA25" s="442">
        <v>285000</v>
      </c>
      <c r="AB25" s="442">
        <v>10233</v>
      </c>
      <c r="AC25"/>
      <c r="AD25"/>
      <c r="AE25"/>
      <c r="AG25" s="177">
        <v>58.5</v>
      </c>
      <c r="AH25" s="177"/>
    </row>
    <row r="26" spans="1:34" ht="14.4">
      <c r="N26" s="71">
        <v>2040</v>
      </c>
      <c r="O26" s="76">
        <f t="shared" si="0"/>
        <v>217.25165875504601</v>
      </c>
      <c r="P26" s="77">
        <f t="shared" si="1"/>
        <v>684.56630839625234</v>
      </c>
      <c r="X26" s="442"/>
      <c r="Y26" s="442"/>
      <c r="Z26"/>
      <c r="AA26" s="442">
        <v>287000</v>
      </c>
      <c r="AB26" s="442">
        <v>10279</v>
      </c>
      <c r="AC26"/>
      <c r="AD26"/>
      <c r="AE26"/>
      <c r="AG26" s="177">
        <v>59</v>
      </c>
      <c r="AH26" s="177"/>
    </row>
    <row r="27" spans="1:34" ht="14.4">
      <c r="N27" s="71">
        <v>2041</v>
      </c>
      <c r="O27" s="76">
        <f t="shared" si="0"/>
        <v>227.02798339902307</v>
      </c>
      <c r="P27" s="77">
        <f t="shared" si="1"/>
        <v>723.58658797483872</v>
      </c>
      <c r="X27" s="442"/>
      <c r="Y27" s="442"/>
      <c r="Z27"/>
      <c r="AA27" s="442">
        <v>291000</v>
      </c>
      <c r="AB27" s="442">
        <v>10435</v>
      </c>
      <c r="AC27"/>
      <c r="AD27"/>
      <c r="AE27"/>
      <c r="AG27" s="177">
        <v>59.5</v>
      </c>
      <c r="AH27" s="177"/>
    </row>
    <row r="28" spans="1:34" ht="14.4">
      <c r="G28" s="71" t="s">
        <v>233</v>
      </c>
      <c r="K28"/>
      <c r="L28"/>
      <c r="N28" s="71">
        <v>2042</v>
      </c>
      <c r="O28" s="76">
        <f t="shared" si="0"/>
        <v>237.24424265197911</v>
      </c>
      <c r="P28" s="77">
        <f t="shared" si="1"/>
        <v>764.83102348940452</v>
      </c>
      <c r="X28" s="442"/>
      <c r="Y28" s="442"/>
      <c r="Z28"/>
      <c r="AA28" s="442">
        <v>309000</v>
      </c>
      <c r="AB28" s="442">
        <v>11067</v>
      </c>
      <c r="AC28"/>
      <c r="AD28"/>
      <c r="AE28"/>
      <c r="AG28" s="177">
        <v>60</v>
      </c>
      <c r="AH28" s="177"/>
    </row>
    <row r="29" spans="1:34" ht="14.4">
      <c r="A29" s="71" t="s">
        <v>113</v>
      </c>
      <c r="G29" s="223" t="s">
        <v>183</v>
      </c>
      <c r="H29" s="224">
        <f ca="1">+H61</f>
        <v>462704.41703256255</v>
      </c>
      <c r="I29"/>
      <c r="J29"/>
      <c r="K29"/>
      <c r="L29"/>
      <c r="M29"/>
      <c r="N29" s="71">
        <v>2043</v>
      </c>
      <c r="O29" s="76">
        <f t="shared" si="0"/>
        <v>247.92023357131816</v>
      </c>
      <c r="P29" s="77">
        <f t="shared" si="1"/>
        <v>808.42639182830055</v>
      </c>
      <c r="X29" s="442"/>
      <c r="Y29" s="442"/>
      <c r="Z29"/>
      <c r="AA29" s="442">
        <v>313000</v>
      </c>
      <c r="AB29" s="442">
        <v>11224</v>
      </c>
      <c r="AC29"/>
      <c r="AD29"/>
      <c r="AE29"/>
    </row>
    <row r="30" spans="1:34" ht="14.4">
      <c r="A30" s="71">
        <v>1</v>
      </c>
      <c r="B30" s="140">
        <f ca="1">+A30*'FACT. + ASIG.'!$C$13</f>
        <v>133.87019812374999</v>
      </c>
      <c r="C30" s="75" t="str">
        <f ca="1">IF('CAL. PROM. 250 SEM'!$D$11&lt;=B30, A30, "")</f>
        <v/>
      </c>
      <c r="G30" s="223" t="s">
        <v>184</v>
      </c>
      <c r="H30" s="225">
        <v>9</v>
      </c>
      <c r="I30"/>
      <c r="J30"/>
      <c r="K30"/>
      <c r="L30"/>
      <c r="M30"/>
      <c r="N30"/>
      <c r="O30" s="177"/>
      <c r="P30" s="177"/>
      <c r="X30" s="442"/>
      <c r="Y30" s="442"/>
      <c r="Z30"/>
      <c r="AA30" s="442">
        <v>316000</v>
      </c>
      <c r="AB30" s="442">
        <v>11388</v>
      </c>
      <c r="AC30"/>
      <c r="AD30"/>
      <c r="AE30"/>
    </row>
    <row r="31" spans="1:34" ht="14.4">
      <c r="A31" s="71">
        <v>2</v>
      </c>
      <c r="B31" s="140">
        <f ca="1">+A31*'FACT. + ASIG.'!$C$13</f>
        <v>267.74039624749997</v>
      </c>
      <c r="C31" s="75" t="str">
        <f ca="1">IF('CAL. PROM. 250 SEM'!$D$11&lt;=B31, A31, "")</f>
        <v/>
      </c>
      <c r="G31" s="223" t="s">
        <v>185</v>
      </c>
      <c r="H31" s="226">
        <f ca="1">PMT(H32,H30,-H29)</f>
        <v>60038.159761896692</v>
      </c>
      <c r="I31"/>
      <c r="J31"/>
      <c r="K31"/>
      <c r="L31"/>
      <c r="M31"/>
      <c r="N31"/>
      <c r="O31" s="177"/>
      <c r="P31" s="177"/>
      <c r="X31" s="442"/>
      <c r="Y31" s="442"/>
      <c r="Z31"/>
      <c r="AA31" s="442">
        <v>317000</v>
      </c>
      <c r="AB31" s="442">
        <v>11385</v>
      </c>
      <c r="AC31"/>
      <c r="AD31"/>
      <c r="AE31"/>
    </row>
    <row r="32" spans="1:34" ht="14.4">
      <c r="A32" s="71">
        <v>3</v>
      </c>
      <c r="B32" s="140">
        <f ca="1">+A32*'FACT. + ASIG.'!$C$13</f>
        <v>401.61059437124993</v>
      </c>
      <c r="C32" s="75" t="str">
        <f ca="1">IF('CAL. PROM. 250 SEM'!$D$11&lt;=B32, A32, "")</f>
        <v/>
      </c>
      <c r="G32" s="223" t="s">
        <v>186</v>
      </c>
      <c r="H32" s="227">
        <v>3.2199999999999999E-2</v>
      </c>
      <c r="I32"/>
      <c r="J32"/>
      <c r="K32"/>
      <c r="L32"/>
      <c r="M32"/>
      <c r="N32"/>
      <c r="O32" s="177">
        <v>1</v>
      </c>
      <c r="P32" s="178">
        <f t="shared" ref="P32:P43" ca="1" si="2">+$L$46*O32</f>
        <v>18327.014729247236</v>
      </c>
      <c r="Q32" s="440">
        <f t="shared" ref="Q32:Q43" ca="1" si="3">+P32/$K$35</f>
        <v>3.9608471530881199E-2</v>
      </c>
      <c r="X32" s="442"/>
      <c r="Y32" s="442"/>
      <c r="Z32"/>
      <c r="AA32" s="442">
        <v>320000</v>
      </c>
      <c r="AB32" s="442">
        <v>11461</v>
      </c>
      <c r="AC32"/>
      <c r="AD32"/>
      <c r="AE32"/>
    </row>
    <row r="33" spans="1:31" ht="14.4">
      <c r="A33" s="71">
        <v>4</v>
      </c>
      <c r="B33" s="140">
        <f ca="1">+A33*'FACT. + ASIG.'!$C$13</f>
        <v>535.48079249499995</v>
      </c>
      <c r="C33" s="75" t="str">
        <f ca="1">IF('CAL. PROM. 250 SEM'!$D$11&lt;=B33, A33, "")</f>
        <v/>
      </c>
      <c r="G33" s="299" t="s">
        <v>232</v>
      </c>
      <c r="H33" s="300">
        <v>3200</v>
      </c>
      <c r="I33"/>
      <c r="J33"/>
      <c r="K33"/>
      <c r="L33"/>
      <c r="M33"/>
      <c r="N33"/>
      <c r="O33" s="177">
        <v>2</v>
      </c>
      <c r="P33" s="178">
        <f t="shared" ca="1" si="2"/>
        <v>36654.029458494471</v>
      </c>
      <c r="Q33" s="440">
        <f t="shared" ca="1" si="3"/>
        <v>7.9216943061762399E-2</v>
      </c>
      <c r="X33" s="442"/>
      <c r="Y33" s="442"/>
      <c r="Z33"/>
      <c r="AA33" s="442">
        <v>325000</v>
      </c>
      <c r="AB33" s="442">
        <v>11711</v>
      </c>
      <c r="AC33"/>
      <c r="AD33"/>
      <c r="AE33"/>
    </row>
    <row r="34" spans="1:31" ht="14.4">
      <c r="A34" s="71">
        <v>5</v>
      </c>
      <c r="B34" s="140">
        <f ca="1">+A34*'FACT. + ASIG.'!$C$13</f>
        <v>669.35099061874996</v>
      </c>
      <c r="C34" s="75" t="str">
        <f ca="1">IF('CAL. PROM. 250 SEM'!$D$11&lt;=B34, A34, "")</f>
        <v/>
      </c>
      <c r="G34"/>
      <c r="H34"/>
      <c r="I34"/>
      <c r="J34"/>
      <c r="K34" s="228" t="s">
        <v>191</v>
      </c>
      <c r="L34"/>
      <c r="M34"/>
      <c r="N34"/>
      <c r="O34" s="177">
        <v>3</v>
      </c>
      <c r="P34" s="178">
        <f t="shared" ca="1" si="2"/>
        <v>54981.044187741703</v>
      </c>
      <c r="Q34" s="440">
        <f t="shared" ca="1" si="3"/>
        <v>0.11882541459264359</v>
      </c>
      <c r="X34" s="442"/>
      <c r="Y34" s="442"/>
      <c r="Z34"/>
      <c r="AA34" s="442">
        <v>340000</v>
      </c>
      <c r="AB34" s="442">
        <v>12197</v>
      </c>
      <c r="AC34"/>
      <c r="AD34"/>
      <c r="AE34"/>
    </row>
    <row r="35" spans="1:31" ht="14.4">
      <c r="A35" s="71">
        <v>6</v>
      </c>
      <c r="B35" s="140">
        <f ca="1">+A35*'FACT. + ASIG.'!$C$13</f>
        <v>803.22118874249986</v>
      </c>
      <c r="C35" s="75" t="str">
        <f ca="1">IF('CAL. PROM. 250 SEM'!$D$11&lt;=B35, A35, "")</f>
        <v/>
      </c>
      <c r="G35" s="228" t="s">
        <v>187</v>
      </c>
      <c r="H35" s="228" t="s">
        <v>188</v>
      </c>
      <c r="I35" s="228" t="s">
        <v>189</v>
      </c>
      <c r="J35" s="228" t="s">
        <v>190</v>
      </c>
      <c r="K35" s="224">
        <f ca="1">+H29</f>
        <v>462704.41703256255</v>
      </c>
      <c r="M35"/>
      <c r="N35"/>
      <c r="O35" s="177">
        <v>4</v>
      </c>
      <c r="P35" s="178">
        <f t="shared" ca="1" si="2"/>
        <v>73308.058916988943</v>
      </c>
      <c r="Q35" s="440">
        <f t="shared" ca="1" si="3"/>
        <v>0.1584338861235248</v>
      </c>
      <c r="X35" s="442"/>
      <c r="Y35" s="442"/>
      <c r="Z35"/>
      <c r="AA35" s="442">
        <v>351000</v>
      </c>
      <c r="AB35" s="442">
        <v>12582</v>
      </c>
      <c r="AC35"/>
      <c r="AD35"/>
      <c r="AE35"/>
    </row>
    <row r="36" spans="1:31" ht="14.4">
      <c r="A36" s="71">
        <v>7</v>
      </c>
      <c r="B36" s="140">
        <f ca="1">+A36*'FACT. + ASIG.'!$C$13</f>
        <v>937.09138686624988</v>
      </c>
      <c r="C36" s="75" t="str">
        <f ca="1">IF('CAL. PROM. 250 SEM'!$D$11&lt;=B36, A36, "")</f>
        <v/>
      </c>
      <c r="G36" s="225">
        <v>0</v>
      </c>
      <c r="H36" s="226"/>
      <c r="I36" s="225"/>
      <c r="J36" s="225"/>
      <c r="K36" s="224">
        <f t="shared" ref="K36:K47" ca="1" si="4">K35-J37</f>
        <v>477603.49926101108</v>
      </c>
      <c r="L36"/>
      <c r="N36"/>
      <c r="O36" s="177">
        <v>5</v>
      </c>
      <c r="P36" s="178">
        <f t="shared" ca="1" si="2"/>
        <v>91635.073646236182</v>
      </c>
      <c r="Q36" s="440">
        <f t="shared" ca="1" si="3"/>
        <v>0.198042357654406</v>
      </c>
      <c r="X36" s="442"/>
      <c r="Y36" s="442"/>
      <c r="Z36"/>
      <c r="AA36" s="442">
        <v>451000</v>
      </c>
      <c r="AB36" s="442">
        <v>16175</v>
      </c>
      <c r="AC36"/>
      <c r="AD36"/>
      <c r="AE36"/>
    </row>
    <row r="37" spans="1:31" ht="14.4">
      <c r="A37" s="71">
        <v>8</v>
      </c>
      <c r="B37" s="140">
        <f ca="1">+A37*'FACT. + ASIG.'!$C$13</f>
        <v>1070.9615849899999</v>
      </c>
      <c r="C37" s="75" t="str">
        <f ca="1">IF('CAL. PROM. 250 SEM'!$D$11&lt;=B37, A37, "")</f>
        <v/>
      </c>
      <c r="G37" s="225">
        <v>1</v>
      </c>
      <c r="H37" s="226">
        <v>0</v>
      </c>
      <c r="I37" s="229">
        <f t="shared" ref="I37:I48" ca="1" si="5">K35*$H$32</f>
        <v>14899.082228448513</v>
      </c>
      <c r="J37" s="229">
        <f ca="1">H37-I37</f>
        <v>-14899.082228448513</v>
      </c>
      <c r="K37" s="224">
        <f t="shared" ca="1" si="4"/>
        <v>492982.33193721564</v>
      </c>
      <c r="L37"/>
      <c r="M37"/>
      <c r="N37"/>
      <c r="O37" s="177">
        <v>6</v>
      </c>
      <c r="P37" s="178">
        <f t="shared" ca="1" si="2"/>
        <v>109962.08837548341</v>
      </c>
      <c r="Q37" s="440">
        <f t="shared" ca="1" si="3"/>
        <v>0.23765082918528718</v>
      </c>
      <c r="X37" s="442"/>
      <c r="Y37" s="442"/>
      <c r="Z37"/>
      <c r="AA37" s="442">
        <v>461000</v>
      </c>
      <c r="AB37" s="442">
        <v>16528</v>
      </c>
      <c r="AC37"/>
      <c r="AD37"/>
      <c r="AE37"/>
    </row>
    <row r="38" spans="1:31" ht="14.4">
      <c r="A38" s="71">
        <v>9</v>
      </c>
      <c r="B38" s="140">
        <f ca="1">+A38*'FACT. + ASIG.'!$C$13</f>
        <v>1204.8317831137499</v>
      </c>
      <c r="C38" s="75" t="str">
        <f ca="1">IF('CAL. PROM. 250 SEM'!$D$11&lt;=B38, A38, "")</f>
        <v/>
      </c>
      <c r="G38" s="225">
        <v>2</v>
      </c>
      <c r="H38" s="226">
        <v>0</v>
      </c>
      <c r="I38" s="229">
        <f t="shared" ca="1" si="5"/>
        <v>15378.832676204556</v>
      </c>
      <c r="J38" s="229">
        <f t="shared" ref="J38:J45" ca="1" si="6">H38-I38</f>
        <v>-15378.832676204556</v>
      </c>
      <c r="K38" s="224">
        <f t="shared" ca="1" si="4"/>
        <v>508856.36302559398</v>
      </c>
      <c r="L38"/>
      <c r="M38"/>
      <c r="N38"/>
      <c r="O38" s="177">
        <v>7</v>
      </c>
      <c r="P38" s="178">
        <f t="shared" ca="1" si="2"/>
        <v>128289.10310473065</v>
      </c>
      <c r="Q38" s="440">
        <f t="shared" ca="1" si="3"/>
        <v>0.27725930071616839</v>
      </c>
      <c r="X38" s="442"/>
      <c r="Y38" s="442"/>
      <c r="Z38"/>
      <c r="AA38" s="442">
        <v>509000</v>
      </c>
      <c r="AB38" s="442">
        <v>18245</v>
      </c>
      <c r="AC38"/>
      <c r="AD38"/>
      <c r="AE38"/>
    </row>
    <row r="39" spans="1:31" ht="14.4">
      <c r="A39" s="71">
        <v>10</v>
      </c>
      <c r="B39" s="140">
        <f ca="1">+A39*'FACT. + ASIG.'!$C$13</f>
        <v>1338.7019812374999</v>
      </c>
      <c r="C39" s="75" t="str">
        <f ca="1">IF('CAL. PROM. 250 SEM'!$D$11&lt;=B39, A39, "")</f>
        <v/>
      </c>
      <c r="G39" s="225">
        <v>3</v>
      </c>
      <c r="H39" s="226">
        <v>0</v>
      </c>
      <c r="I39" s="229">
        <f t="shared" ca="1" si="5"/>
        <v>15874.031088378344</v>
      </c>
      <c r="J39" s="229">
        <f t="shared" ca="1" si="6"/>
        <v>-15874.031088378344</v>
      </c>
      <c r="K39" s="224">
        <f t="shared" ca="1" si="4"/>
        <v>525241.53791501815</v>
      </c>
      <c r="L39"/>
      <c r="M39"/>
      <c r="N39"/>
      <c r="O39" s="177">
        <v>8</v>
      </c>
      <c r="P39" s="178">
        <f t="shared" ca="1" si="2"/>
        <v>146616.11783397789</v>
      </c>
      <c r="Q39" s="440">
        <f t="shared" ca="1" si="3"/>
        <v>0.31686777224704959</v>
      </c>
      <c r="X39" s="442"/>
      <c r="Y39" s="442"/>
      <c r="Z39"/>
      <c r="AA39" s="442">
        <v>512000</v>
      </c>
      <c r="AB39" s="442">
        <v>18432</v>
      </c>
      <c r="AC39"/>
      <c r="AD39"/>
      <c r="AE39"/>
    </row>
    <row r="40" spans="1:31" ht="14.4">
      <c r="A40" s="71">
        <v>11</v>
      </c>
      <c r="B40" s="140">
        <f ca="1">+A40*'FACT. + ASIG.'!$C$13</f>
        <v>1472.5721793612499</v>
      </c>
      <c r="C40" s="75" t="str">
        <f ca="1">IF('CAL. PROM. 250 SEM'!$D$11&lt;=B40, A40, "")</f>
        <v/>
      </c>
      <c r="G40" s="225">
        <v>4</v>
      </c>
      <c r="H40" s="226">
        <v>0</v>
      </c>
      <c r="I40" s="229">
        <f t="shared" ca="1" si="5"/>
        <v>16385.174889424125</v>
      </c>
      <c r="J40" s="229">
        <f t="shared" ca="1" si="6"/>
        <v>-16385.174889424125</v>
      </c>
      <c r="K40" s="224">
        <f t="shared" ca="1" si="4"/>
        <v>542154.31543588173</v>
      </c>
      <c r="L40"/>
      <c r="M40"/>
      <c r="N40"/>
      <c r="O40" s="177">
        <v>9</v>
      </c>
      <c r="P40" s="178">
        <f t="shared" ca="1" si="2"/>
        <v>164943.13256322511</v>
      </c>
      <c r="Q40" s="440">
        <f t="shared" ca="1" si="3"/>
        <v>0.3564762437779308</v>
      </c>
    </row>
    <row r="41" spans="1:31" ht="14.4">
      <c r="A41" s="71">
        <v>12</v>
      </c>
      <c r="B41" s="140">
        <f ca="1">+A41*'FACT. + ASIG.'!$C$13</f>
        <v>1606.4423774849997</v>
      </c>
      <c r="C41" s="75" t="str">
        <f ca="1">IF('CAL. PROM. 250 SEM'!$D$11&lt;=B41, A41, "")</f>
        <v/>
      </c>
      <c r="G41" s="225">
        <v>5</v>
      </c>
      <c r="H41" s="226">
        <v>0</v>
      </c>
      <c r="I41" s="229">
        <f t="shared" ca="1" si="5"/>
        <v>16912.777520863583</v>
      </c>
      <c r="J41" s="229">
        <f t="shared" ca="1" si="6"/>
        <v>-16912.777520863583</v>
      </c>
      <c r="K41" s="224">
        <f t="shared" ca="1" si="4"/>
        <v>559611.68439291709</v>
      </c>
      <c r="L41"/>
      <c r="M41"/>
      <c r="N41"/>
      <c r="O41" s="177">
        <v>10</v>
      </c>
      <c r="P41" s="178">
        <f t="shared" ca="1" si="2"/>
        <v>183270.14729247236</v>
      </c>
      <c r="Q41" s="440">
        <f t="shared" ca="1" si="3"/>
        <v>0.39608471530881201</v>
      </c>
    </row>
    <row r="42" spans="1:31" ht="14.4">
      <c r="A42" s="71">
        <v>13</v>
      </c>
      <c r="B42" s="140">
        <f ca="1">+A42*'FACT. + ASIG.'!$C$13</f>
        <v>1740.3125756087497</v>
      </c>
      <c r="C42" s="75" t="str">
        <f ca="1">IF('CAL. PROM. 250 SEM'!$D$11&lt;=B42, A42, "")</f>
        <v/>
      </c>
      <c r="G42" s="225">
        <v>6</v>
      </c>
      <c r="H42" s="226">
        <v>0</v>
      </c>
      <c r="I42" s="229">
        <f t="shared" ca="1" si="5"/>
        <v>17457.368957035393</v>
      </c>
      <c r="J42" s="229">
        <f t="shared" ca="1" si="6"/>
        <v>-17457.368957035393</v>
      </c>
      <c r="K42" s="224">
        <f t="shared" ca="1" si="4"/>
        <v>577631.180630369</v>
      </c>
      <c r="L42"/>
      <c r="M42"/>
      <c r="N42"/>
      <c r="O42" s="177">
        <v>11</v>
      </c>
      <c r="P42" s="178">
        <f t="shared" ca="1" si="2"/>
        <v>201597.16202171959</v>
      </c>
      <c r="Q42" s="440">
        <f t="shared" ca="1" si="3"/>
        <v>0.43569318683969321</v>
      </c>
    </row>
    <row r="43" spans="1:31" ht="14.4">
      <c r="A43" s="71">
        <v>14</v>
      </c>
      <c r="B43" s="140">
        <f ca="1">+A43*'FACT. + ASIG.'!$C$13</f>
        <v>1874.1827737324998</v>
      </c>
      <c r="C43" s="75" t="str">
        <f ca="1">IF('CAL. PROM. 250 SEM'!$D$11&lt;=B43, A43, "")</f>
        <v/>
      </c>
      <c r="G43" s="225">
        <v>7</v>
      </c>
      <c r="H43" s="226">
        <v>0</v>
      </c>
      <c r="I43" s="229">
        <f t="shared" ca="1" si="5"/>
        <v>18019.496237451931</v>
      </c>
      <c r="J43" s="229">
        <f t="shared" ca="1" si="6"/>
        <v>-18019.496237451931</v>
      </c>
      <c r="K43" s="224">
        <f t="shared" ca="1" si="4"/>
        <v>596230.90464666684</v>
      </c>
      <c r="L43"/>
      <c r="M43"/>
      <c r="N43"/>
      <c r="O43" s="177">
        <v>12</v>
      </c>
      <c r="P43" s="178">
        <f t="shared" ca="1" si="2"/>
        <v>219924.17675096681</v>
      </c>
      <c r="Q43" s="440">
        <f t="shared" ca="1" si="3"/>
        <v>0.47530165837057436</v>
      </c>
    </row>
    <row r="44" spans="1:31" ht="14.4">
      <c r="A44" s="71">
        <v>15</v>
      </c>
      <c r="B44" s="140">
        <f ca="1">+A44*'FACT. + ASIG.'!$C$13</f>
        <v>2008.0529718562498</v>
      </c>
      <c r="C44" s="75" t="str">
        <f ca="1">IF('CAL. PROM. 250 SEM'!$D$11&lt;=B44, A44, "")</f>
        <v/>
      </c>
      <c r="G44" s="225">
        <v>8</v>
      </c>
      <c r="H44" s="226">
        <v>0</v>
      </c>
      <c r="I44" s="229">
        <f t="shared" ca="1" si="5"/>
        <v>18599.724016297881</v>
      </c>
      <c r="J44" s="229">
        <f t="shared" ca="1" si="6"/>
        <v>-18599.724016297881</v>
      </c>
      <c r="K44" s="224">
        <f t="shared" ca="1" si="4"/>
        <v>615429.53977628949</v>
      </c>
      <c r="L44"/>
      <c r="M44"/>
      <c r="N44"/>
      <c r="O44" s="177"/>
      <c r="P44" s="177"/>
    </row>
    <row r="45" spans="1:31" ht="14.4">
      <c r="A45" s="71">
        <v>16</v>
      </c>
      <c r="B45" s="140">
        <f ca="1">+A45*'FACT. + ASIG.'!$C$13</f>
        <v>2141.9231699799998</v>
      </c>
      <c r="C45" s="75" t="str">
        <f ca="1">IF('CAL. PROM. 250 SEM'!$D$11&lt;=B45, A45, "")</f>
        <v/>
      </c>
      <c r="G45" s="225">
        <v>9</v>
      </c>
      <c r="H45" s="226">
        <v>0</v>
      </c>
      <c r="I45" s="229">
        <f t="shared" ca="1" si="5"/>
        <v>19198.635129622671</v>
      </c>
      <c r="J45" s="229">
        <f t="shared" ca="1" si="6"/>
        <v>-19198.635129622671</v>
      </c>
      <c r="K45" s="224">
        <f t="shared" ca="1" si="4"/>
        <v>635246.37095708598</v>
      </c>
      <c r="L45" s="187">
        <f ca="1">+(K44-H29)/9</f>
        <v>16969.458082636327</v>
      </c>
      <c r="M45"/>
      <c r="N45"/>
      <c r="O45" s="177"/>
      <c r="P45" s="177"/>
    </row>
    <row r="46" spans="1:31" ht="14.4">
      <c r="A46" s="71">
        <v>17</v>
      </c>
      <c r="B46" s="140">
        <f ca="1">+A46*'FACT. + ASIG.'!$C$13</f>
        <v>2275.7933681037498</v>
      </c>
      <c r="C46" s="75" t="str">
        <f ca="1">IF('CAL. PROM. 250 SEM'!$D$11&lt;=B46, A46, "")</f>
        <v/>
      </c>
      <c r="G46" s="225">
        <v>10</v>
      </c>
      <c r="H46" s="226">
        <v>0</v>
      </c>
      <c r="I46" s="229">
        <f t="shared" ca="1" si="5"/>
        <v>19816.831180796522</v>
      </c>
      <c r="J46" s="229">
        <f ca="1">H46-I46</f>
        <v>-19816.831180796522</v>
      </c>
      <c r="K46" s="224">
        <f t="shared" ca="1" si="4"/>
        <v>655701.30410190416</v>
      </c>
      <c r="L46" s="187">
        <f ca="1">+L45*1.08</f>
        <v>18327.014729247236</v>
      </c>
      <c r="M46" s="187"/>
      <c r="N46"/>
      <c r="O46" s="177"/>
      <c r="P46" s="177"/>
    </row>
    <row r="47" spans="1:31" ht="14.4">
      <c r="A47" s="71">
        <v>18</v>
      </c>
      <c r="B47" s="140">
        <f ca="1">+A47*'FACT. + ASIG.'!$C$13</f>
        <v>2409.6635662274998</v>
      </c>
      <c r="C47" s="75" t="str">
        <f ca="1">IF('CAL. PROM. 250 SEM'!$D$11&lt;=B47, A47, "")</f>
        <v/>
      </c>
      <c r="G47" s="225">
        <v>11</v>
      </c>
      <c r="H47" s="226">
        <v>0</v>
      </c>
      <c r="I47" s="229">
        <f t="shared" ca="1" si="5"/>
        <v>20454.933144818169</v>
      </c>
      <c r="J47" s="229">
        <f ca="1">H47-I47</f>
        <v>-20454.933144818169</v>
      </c>
      <c r="K47" s="224">
        <f t="shared" ca="1" si="4"/>
        <v>676814.88609398552</v>
      </c>
      <c r="L47"/>
      <c r="M47" s="187"/>
      <c r="N47"/>
      <c r="O47" s="177"/>
      <c r="P47" s="177"/>
    </row>
    <row r="48" spans="1:31" ht="14.4">
      <c r="A48" s="71">
        <v>19</v>
      </c>
      <c r="B48" s="140">
        <f ca="1">+A48*'FACT. + ASIG.'!$C$13</f>
        <v>2543.5337643512498</v>
      </c>
      <c r="C48" s="75" t="str">
        <f ca="1">IF('CAL. PROM. 250 SEM'!$D$11&lt;=B48, A48, "")</f>
        <v/>
      </c>
      <c r="G48" s="225">
        <v>12</v>
      </c>
      <c r="H48" s="226">
        <v>0</v>
      </c>
      <c r="I48" s="229">
        <f t="shared" ca="1" si="5"/>
        <v>21113.581992081312</v>
      </c>
      <c r="J48" s="229">
        <f ca="1">H48-I48</f>
        <v>-21113.581992081312</v>
      </c>
      <c r="M48"/>
      <c r="N48"/>
      <c r="O48" s="177"/>
      <c r="P48" s="177"/>
    </row>
    <row r="49" spans="1:17">
      <c r="A49" s="71">
        <v>20</v>
      </c>
      <c r="B49" s="140">
        <f ca="1">+A49*'FACT. + ASIG.'!$C$13</f>
        <v>2677.4039624749998</v>
      </c>
      <c r="C49" s="75" t="str">
        <f ca="1">IF('CAL. PROM. 250 SEM'!$D$11&lt;=B49, A49, "")</f>
        <v/>
      </c>
    </row>
    <row r="50" spans="1:17">
      <c r="A50" s="71">
        <v>21</v>
      </c>
      <c r="B50" s="140">
        <f ca="1">+A50*'FACT. + ASIG.'!$C$13</f>
        <v>2811.2741605987499</v>
      </c>
      <c r="C50" s="75" t="str">
        <f ca="1">IF('CAL. PROM. 250 SEM'!$D$11&lt;=B50, A50, "")</f>
        <v/>
      </c>
    </row>
    <row r="51" spans="1:17">
      <c r="A51" s="71">
        <v>22</v>
      </c>
      <c r="B51" s="140">
        <f ca="1">+A51*'FACT. + ASIG.'!$C$13</f>
        <v>2945.1443587224999</v>
      </c>
      <c r="C51" s="75">
        <f ca="1">IF('CAL. PROM. 250 SEM'!$D$11&lt;=B51, A51, "")</f>
        <v>22</v>
      </c>
    </row>
    <row r="52" spans="1:17">
      <c r="A52" s="71">
        <v>23</v>
      </c>
      <c r="B52" s="140">
        <f ca="1">+A52*'FACT. + ASIG.'!$C$13</f>
        <v>3079.0145568462499</v>
      </c>
      <c r="C52" s="75">
        <f ca="1">IF('CAL. PROM. 250 SEM'!$D$11&lt;=B52, A52, "")</f>
        <v>23</v>
      </c>
      <c r="I52" s="71">
        <f ca="1">+H59/(1.0116)</f>
        <v>630178.30825033924</v>
      </c>
      <c r="O52" s="71">
        <f>IF('1'!D9=1,'1'!Q32,IF('1'!D9=2,'1'!Q33,IF('1'!D9=3,'1'!Q34,IF('1'!D9=4,'1'!Q35,IF('1'!D9=5,'1'!Q36,IF('1'!D9=6,'1'!Q37,IF('1'!D9=7,'1'!Q38,IF('1'!D9=8,'1'!Q39,IF('1'!D9=9,'1'!Q40,0)))))))))</f>
        <v>0</v>
      </c>
    </row>
    <row r="53" spans="1:17">
      <c r="A53" s="71">
        <v>24</v>
      </c>
      <c r="B53" s="140">
        <f ca="1">+A53*'FACT. + ASIG.'!$C$13</f>
        <v>3212.8847549699994</v>
      </c>
      <c r="C53" s="75">
        <f ca="1">IF('CAL. PROM. 250 SEM'!$D$11&lt;=B53, A53, "")</f>
        <v>24</v>
      </c>
    </row>
    <row r="54" spans="1:17" ht="13.8" thickBot="1">
      <c r="A54" s="71">
        <v>25</v>
      </c>
      <c r="B54" s="140">
        <f ca="1">+A54*'FACT. + ASIG.'!$C$13</f>
        <v>3346.7549530937495</v>
      </c>
      <c r="C54" s="75">
        <f ca="1">IF('CAL. PROM. 250 SEM'!$D$11&lt;=B54, A54, "")</f>
        <v>25</v>
      </c>
    </row>
    <row r="55" spans="1:17" ht="15" thickBot="1">
      <c r="K55" s="606"/>
      <c r="L55" s="607"/>
    </row>
    <row r="56" spans="1:17" ht="15" thickBot="1">
      <c r="G56" s="235" t="s">
        <v>192</v>
      </c>
      <c r="H56" s="236">
        <f ca="1">+'MOD 40 REC. VS RETRO.'!F32*0.3</f>
        <v>22909.102780803281</v>
      </c>
      <c r="I56"/>
      <c r="J56" s="605"/>
      <c r="K56"/>
      <c r="L56" s="609"/>
      <c r="M56"/>
    </row>
    <row r="57" spans="1:17" ht="14.4">
      <c r="G57" s="177" t="s">
        <v>234</v>
      </c>
      <c r="H57" s="239">
        <f>2.5%*1.16</f>
        <v>2.8999999999999998E-2</v>
      </c>
      <c r="I57"/>
      <c r="J57" s="608"/>
      <c r="K57"/>
      <c r="L57" s="609"/>
      <c r="M57"/>
      <c r="Q57" s="140" t="e">
        <f ca="1">+H29/(1+#REF!)</f>
        <v>#REF!</v>
      </c>
    </row>
    <row r="58" spans="1:17" ht="14.4">
      <c r="G58" s="177" t="s">
        <v>196</v>
      </c>
      <c r="H58" s="177">
        <v>60</v>
      </c>
      <c r="I58" s="230"/>
      <c r="J58" s="608"/>
      <c r="K58"/>
      <c r="L58" s="609"/>
      <c r="M58"/>
    </row>
    <row r="59" spans="1:17" ht="14.4">
      <c r="G59" s="194" t="s">
        <v>197</v>
      </c>
      <c r="H59" s="178">
        <f ca="1">(H56*(1-(1+H57)^(-H58))/(H57))/1.01116-3200</f>
        <v>637488.37662604323</v>
      </c>
      <c r="I59"/>
      <c r="J59" s="608"/>
      <c r="K59"/>
      <c r="L59" s="609"/>
      <c r="M59"/>
    </row>
    <row r="60" spans="1:17" ht="15" thickBot="1">
      <c r="I60"/>
      <c r="J60" s="608"/>
      <c r="K60"/>
      <c r="L60" s="609"/>
      <c r="M60"/>
    </row>
    <row r="61" spans="1:17" ht="15" thickBot="1">
      <c r="G61" s="235" t="s">
        <v>235</v>
      </c>
      <c r="H61" s="301">
        <f ca="1">+(H59*0.739)/1.01116-3200</f>
        <v>462704.41703256255</v>
      </c>
      <c r="I61"/>
      <c r="J61" s="608"/>
      <c r="K61"/>
      <c r="L61" s="609"/>
      <c r="M61"/>
    </row>
    <row r="62" spans="1:17" ht="14.4">
      <c r="G62" s="231"/>
      <c r="H62" s="193"/>
      <c r="I62" s="187"/>
      <c r="J62" s="608"/>
      <c r="K62"/>
      <c r="L62" s="609"/>
      <c r="M62"/>
    </row>
    <row r="63" spans="1:17" ht="15" thickBot="1">
      <c r="G63" s="230"/>
      <c r="I63"/>
      <c r="J63" s="608"/>
      <c r="K63" s="610"/>
      <c r="L63" s="604"/>
      <c r="M63"/>
    </row>
    <row r="64" spans="1:17" ht="15" thickBot="1">
      <c r="G64"/>
      <c r="H64"/>
      <c r="I64"/>
      <c r="J64" s="603"/>
      <c r="K64" s="612"/>
      <c r="L64" s="613"/>
      <c r="M64"/>
    </row>
    <row r="65" spans="7:17" ht="15" thickBot="1">
      <c r="I65"/>
      <c r="J65" s="611"/>
      <c r="K65" s="602"/>
      <c r="L65" s="232">
        <v>60</v>
      </c>
      <c r="M65" s="314"/>
    </row>
    <row r="66" spans="7:17" ht="15" thickBot="1">
      <c r="I66"/>
      <c r="J66" s="601" t="s">
        <v>193</v>
      </c>
      <c r="K66" s="602"/>
      <c r="L66" s="233">
        <v>0.35159999999999997</v>
      </c>
      <c r="M66" s="177"/>
    </row>
    <row r="67" spans="7:17" ht="15" thickBot="1">
      <c r="I67"/>
      <c r="J67" s="601" t="s">
        <v>194</v>
      </c>
      <c r="K67" s="604"/>
      <c r="L67" s="234" t="e">
        <v>#NUM!</v>
      </c>
      <c r="M67" s="315"/>
    </row>
    <row r="68" spans="7:17" ht="15" thickBot="1">
      <c r="I68"/>
      <c r="J68" s="603" t="s">
        <v>195</v>
      </c>
      <c r="M68" s="316"/>
    </row>
    <row r="71" spans="7:17" ht="14.4">
      <c r="K71"/>
      <c r="L71"/>
    </row>
    <row r="72" spans="7:17" ht="14.4">
      <c r="G72" s="223" t="s">
        <v>183</v>
      </c>
      <c r="H72" s="224">
        <f ca="1">+'SEGUNDO FONDEADOR'!C3</f>
        <v>1E-8</v>
      </c>
      <c r="I72"/>
      <c r="J72"/>
      <c r="K72"/>
      <c r="L72"/>
      <c r="M72"/>
      <c r="N72"/>
      <c r="O72" s="177"/>
      <c r="P72" s="177"/>
    </row>
    <row r="73" spans="7:17" ht="14.4">
      <c r="G73" s="223" t="s">
        <v>184</v>
      </c>
      <c r="H73" s="225">
        <v>9</v>
      </c>
      <c r="I73"/>
      <c r="J73"/>
      <c r="K73"/>
      <c r="L73"/>
      <c r="M73"/>
      <c r="N73"/>
      <c r="O73" s="177"/>
      <c r="P73" s="177"/>
    </row>
    <row r="74" spans="7:17" ht="14.4">
      <c r="G74" s="223" t="s">
        <v>185</v>
      </c>
      <c r="H74" s="226">
        <f ca="1">+H72*H75</f>
        <v>6.588799999999999E-10</v>
      </c>
      <c r="I74"/>
      <c r="J74"/>
      <c r="K74"/>
      <c r="L74"/>
      <c r="M74"/>
      <c r="N74"/>
      <c r="O74" s="177"/>
      <c r="P74" s="177"/>
    </row>
    <row r="75" spans="7:17" ht="14.4">
      <c r="G75" s="223" t="s">
        <v>186</v>
      </c>
      <c r="H75" s="227">
        <f>5.68%*1.16</f>
        <v>6.5887999999999988E-2</v>
      </c>
      <c r="I75"/>
      <c r="J75"/>
      <c r="K75"/>
      <c r="L75"/>
      <c r="M75"/>
      <c r="N75"/>
      <c r="O75" s="177">
        <v>1</v>
      </c>
      <c r="P75" s="178">
        <f ca="1">+H74</f>
        <v>6.588799999999999E-10</v>
      </c>
      <c r="Q75" s="237">
        <f t="shared" ref="Q75:Q86" ca="1" si="7">+P75/$K$35</f>
        <v>1.4239760325297081E-15</v>
      </c>
    </row>
    <row r="76" spans="7:17" ht="14.4">
      <c r="G76"/>
      <c r="H76"/>
      <c r="I76"/>
      <c r="J76"/>
      <c r="K76"/>
      <c r="L76"/>
      <c r="M76"/>
      <c r="N76"/>
      <c r="O76" s="177">
        <v>2</v>
      </c>
      <c r="P76" s="178">
        <f ca="1">+$P$75*O76</f>
        <v>1.3177599999999998E-9</v>
      </c>
      <c r="Q76" s="237">
        <f t="shared" ca="1" si="7"/>
        <v>2.8479520650594163E-15</v>
      </c>
    </row>
    <row r="77" spans="7:17" ht="14.4">
      <c r="G77"/>
      <c r="H77"/>
      <c r="I77"/>
      <c r="J77"/>
      <c r="K77" s="228" t="s">
        <v>191</v>
      </c>
      <c r="L77"/>
      <c r="M77"/>
      <c r="N77"/>
      <c r="O77" s="257">
        <v>3</v>
      </c>
      <c r="P77" s="178">
        <f t="shared" ref="P77:P83" ca="1" si="8">+$P$75*O77</f>
        <v>1.9766399999999995E-9</v>
      </c>
      <c r="Q77" s="237">
        <f t="shared" ca="1" si="7"/>
        <v>4.2719280975891239E-15</v>
      </c>
    </row>
    <row r="78" spans="7:17" ht="14.4">
      <c r="G78" s="228" t="s">
        <v>187</v>
      </c>
      <c r="H78" s="228" t="s">
        <v>188</v>
      </c>
      <c r="I78" s="228" t="s">
        <v>189</v>
      </c>
      <c r="J78" s="228" t="s">
        <v>190</v>
      </c>
      <c r="K78" s="224">
        <f ca="1">+H72</f>
        <v>1E-8</v>
      </c>
      <c r="M78"/>
      <c r="N78"/>
      <c r="O78" s="177">
        <v>4</v>
      </c>
      <c r="P78" s="178">
        <f t="shared" ca="1" si="8"/>
        <v>2.6355199999999996E-9</v>
      </c>
      <c r="Q78" s="237">
        <f t="shared" ca="1" si="7"/>
        <v>5.6959041301188326E-15</v>
      </c>
    </row>
    <row r="79" spans="7:17" ht="14.4">
      <c r="G79" s="225">
        <v>0</v>
      </c>
      <c r="H79" s="226"/>
      <c r="I79" s="225"/>
      <c r="J79" s="225"/>
      <c r="K79" s="224">
        <f t="shared" ref="K79:K87" ca="1" si="9">K78-J80</f>
        <v>1.0658879999999999E-8</v>
      </c>
      <c r="L79"/>
      <c r="N79"/>
      <c r="O79" s="177">
        <v>5</v>
      </c>
      <c r="P79" s="178">
        <f t="shared" ca="1" si="8"/>
        <v>3.2943999999999997E-9</v>
      </c>
      <c r="Q79" s="237">
        <f t="shared" ca="1" si="7"/>
        <v>7.1198801626485405E-15</v>
      </c>
    </row>
    <row r="80" spans="7:17" ht="14.4">
      <c r="G80" s="225">
        <v>1</v>
      </c>
      <c r="H80" s="226">
        <v>0</v>
      </c>
      <c r="I80" s="229">
        <f ca="1">K78*H75</f>
        <v>6.588799999999999E-10</v>
      </c>
      <c r="J80" s="229">
        <f ca="1">H80-I80</f>
        <v>-6.588799999999999E-10</v>
      </c>
      <c r="K80" s="224">
        <f t="shared" ca="1" si="9"/>
        <v>1.1002095935999999E-8</v>
      </c>
      <c r="L80"/>
      <c r="M80"/>
      <c r="N80"/>
      <c r="O80" s="177">
        <v>6</v>
      </c>
      <c r="P80" s="178">
        <f t="shared" ca="1" si="8"/>
        <v>3.953279999999999E-9</v>
      </c>
      <c r="Q80" s="237">
        <f t="shared" ca="1" si="7"/>
        <v>8.5438561951782477E-15</v>
      </c>
    </row>
    <row r="81" spans="7:17" ht="14.4">
      <c r="G81" s="225">
        <v>2</v>
      </c>
      <c r="H81" s="226">
        <v>0</v>
      </c>
      <c r="I81" s="229">
        <f t="shared" ref="I81:I88" ca="1" si="10">K79*$H$32</f>
        <v>3.4321593599999996E-10</v>
      </c>
      <c r="J81" s="229">
        <f t="shared" ref="J81:J88" ca="1" si="11">H81-I81</f>
        <v>-3.4321593599999996E-10</v>
      </c>
      <c r="K81" s="224">
        <f t="shared" ca="1" si="9"/>
        <v>1.1356363425139199E-8</v>
      </c>
      <c r="L81"/>
      <c r="M81"/>
      <c r="N81"/>
      <c r="O81" s="177">
        <v>7</v>
      </c>
      <c r="P81" s="178">
        <f t="shared" ca="1" si="8"/>
        <v>4.6121599999999991E-9</v>
      </c>
      <c r="Q81" s="237">
        <f t="shared" ca="1" si="7"/>
        <v>9.9678322277079564E-15</v>
      </c>
    </row>
    <row r="82" spans="7:17" ht="14.4">
      <c r="G82" s="225">
        <v>3</v>
      </c>
      <c r="H82" s="226">
        <v>0</v>
      </c>
      <c r="I82" s="229">
        <f t="shared" ca="1" si="10"/>
        <v>3.5426748913919997E-10</v>
      </c>
      <c r="J82" s="229">
        <f t="shared" ca="1" si="11"/>
        <v>-3.5426748913919997E-10</v>
      </c>
      <c r="K82" s="224">
        <f t="shared" ca="1" si="9"/>
        <v>1.1722038327428682E-8</v>
      </c>
      <c r="L82"/>
      <c r="M82"/>
      <c r="N82"/>
      <c r="O82" s="177">
        <v>8</v>
      </c>
      <c r="P82" s="178">
        <f t="shared" ca="1" si="8"/>
        <v>5.2710399999999992E-9</v>
      </c>
      <c r="Q82" s="237">
        <f t="shared" ca="1" si="7"/>
        <v>1.1391808260237665E-14</v>
      </c>
    </row>
    <row r="83" spans="7:17" ht="14.4">
      <c r="G83" s="225">
        <v>4</v>
      </c>
      <c r="H83" s="226">
        <v>0</v>
      </c>
      <c r="I83" s="229">
        <f t="shared" ca="1" si="10"/>
        <v>3.6567490228948224E-10</v>
      </c>
      <c r="J83" s="229">
        <f t="shared" ca="1" si="11"/>
        <v>-3.6567490228948224E-10</v>
      </c>
      <c r="K83" s="224">
        <f t="shared" ca="1" si="9"/>
        <v>1.2099487961571885E-8</v>
      </c>
      <c r="L83"/>
      <c r="M83"/>
      <c r="N83"/>
      <c r="O83" s="257">
        <v>9</v>
      </c>
      <c r="P83" s="178">
        <f t="shared" ca="1" si="8"/>
        <v>5.9299199999999993E-9</v>
      </c>
      <c r="Q83" s="237">
        <f t="shared" ca="1" si="7"/>
        <v>1.2815784292767374E-14</v>
      </c>
    </row>
    <row r="84" spans="7:17" ht="14.4">
      <c r="G84" s="225">
        <v>5</v>
      </c>
      <c r="H84" s="226">
        <v>0</v>
      </c>
      <c r="I84" s="229">
        <f t="shared" ca="1" si="10"/>
        <v>3.7744963414320353E-10</v>
      </c>
      <c r="J84" s="229">
        <f t="shared" ca="1" si="11"/>
        <v>-3.7744963414320353E-10</v>
      </c>
      <c r="K84" s="224">
        <f t="shared" ca="1" si="9"/>
        <v>1.24890914739345E-8</v>
      </c>
      <c r="L84"/>
      <c r="M84"/>
      <c r="N84"/>
      <c r="O84" s="177">
        <v>10</v>
      </c>
      <c r="P84" s="178">
        <f ca="1">+$P$75*O84</f>
        <v>6.5887999999999994E-9</v>
      </c>
      <c r="Q84" s="237">
        <f t="shared" ca="1" si="7"/>
        <v>1.4239760325297081E-14</v>
      </c>
    </row>
    <row r="85" spans="7:17" ht="14.4">
      <c r="G85" s="225">
        <v>6</v>
      </c>
      <c r="H85" s="226">
        <v>0</v>
      </c>
      <c r="I85" s="229">
        <f t="shared" ca="1" si="10"/>
        <v>3.8960351236261467E-10</v>
      </c>
      <c r="J85" s="229">
        <f t="shared" ca="1" si="11"/>
        <v>-3.8960351236261467E-10</v>
      </c>
      <c r="K85" s="224">
        <f t="shared" ca="1" si="9"/>
        <v>1.289124021939519E-8</v>
      </c>
      <c r="L85"/>
      <c r="M85"/>
      <c r="N85"/>
      <c r="O85" s="257">
        <v>11</v>
      </c>
      <c r="P85" s="178">
        <f ca="1">+$P$75*O85</f>
        <v>7.2476799999999987E-9</v>
      </c>
      <c r="Q85" s="237">
        <f t="shared" ca="1" si="7"/>
        <v>1.5663736357826788E-14</v>
      </c>
    </row>
    <row r="86" spans="7:17" ht="14.4">
      <c r="G86" s="225">
        <v>7</v>
      </c>
      <c r="H86" s="226">
        <v>0</v>
      </c>
      <c r="I86" s="229">
        <f t="shared" ca="1" si="10"/>
        <v>4.021487454606909E-10</v>
      </c>
      <c r="J86" s="229">
        <f t="shared" ca="1" si="11"/>
        <v>-4.021487454606909E-10</v>
      </c>
      <c r="K86" s="224">
        <f t="shared" ca="1" si="9"/>
        <v>1.3306338154459716E-8</v>
      </c>
      <c r="L86"/>
      <c r="M86"/>
      <c r="N86"/>
      <c r="O86" s="177">
        <v>12</v>
      </c>
      <c r="P86" s="178">
        <f ca="1">+$P$75*O86</f>
        <v>7.906559999999998E-9</v>
      </c>
      <c r="Q86" s="237">
        <f t="shared" ca="1" si="7"/>
        <v>1.7087712390356495E-14</v>
      </c>
    </row>
    <row r="87" spans="7:17" ht="14.4">
      <c r="G87" s="225">
        <v>8</v>
      </c>
      <c r="H87" s="226">
        <v>0</v>
      </c>
      <c r="I87" s="229">
        <f t="shared" ca="1" si="10"/>
        <v>4.150979350645251E-10</v>
      </c>
      <c r="J87" s="229">
        <f t="shared" ca="1" si="11"/>
        <v>-4.150979350645251E-10</v>
      </c>
      <c r="K87" s="224">
        <f t="shared" ca="1" si="9"/>
        <v>1.3734802243033319E-8</v>
      </c>
      <c r="L87"/>
      <c r="M87"/>
      <c r="N87"/>
      <c r="O87" s="177"/>
      <c r="P87" s="177"/>
    </row>
    <row r="88" spans="7:17" ht="14.4">
      <c r="G88" s="225">
        <v>9</v>
      </c>
      <c r="H88" s="226">
        <v>0</v>
      </c>
      <c r="I88" s="229">
        <f t="shared" ca="1" si="10"/>
        <v>4.2846408857360283E-10</v>
      </c>
      <c r="J88" s="229">
        <f t="shared" ca="1" si="11"/>
        <v>-4.2846408857360283E-10</v>
      </c>
      <c r="K88" s="224"/>
      <c r="L88" s="187">
        <f ca="1">+(K87-H72)/9</f>
        <v>4.1497802700370208E-10</v>
      </c>
      <c r="M88"/>
      <c r="N88"/>
      <c r="O88" s="177"/>
      <c r="P88" s="177"/>
    </row>
    <row r="89" spans="7:17" ht="14.4">
      <c r="G89" s="225"/>
      <c r="H89" s="226"/>
      <c r="I89" s="229"/>
      <c r="J89" s="229"/>
      <c r="K89" s="224"/>
      <c r="L89" s="187">
        <f ca="1">+L88*1.08</f>
        <v>4.4817626916399826E-10</v>
      </c>
      <c r="M89" s="187"/>
      <c r="N89"/>
      <c r="O89" s="177"/>
      <c r="P89" s="177"/>
    </row>
    <row r="90" spans="7:17" ht="14.4">
      <c r="G90" s="225"/>
      <c r="H90" s="226"/>
      <c r="I90" s="229"/>
      <c r="J90" s="229"/>
      <c r="K90" s="224"/>
      <c r="L90"/>
      <c r="M90" s="187"/>
      <c r="N90"/>
      <c r="O90" s="177"/>
      <c r="P90" s="177"/>
    </row>
    <row r="91" spans="7:17" ht="14.4">
      <c r="G91" s="225"/>
      <c r="H91" s="226"/>
      <c r="I91" s="229"/>
      <c r="J91" s="229"/>
      <c r="M91"/>
      <c r="N91"/>
      <c r="O91" s="177"/>
      <c r="P91" s="177"/>
    </row>
  </sheetData>
  <mergeCells count="4">
    <mergeCell ref="X1:Y1"/>
    <mergeCell ref="AA1:AB1"/>
    <mergeCell ref="A1:B1"/>
    <mergeCell ref="A2:D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3" r:id="rId3" name="Spinner 1">
              <controlPr defaultSize="0" autoPict="0">
                <anchor moveWithCells="1" sizeWithCells="1">
                  <from>
                    <xdr:col>8</xdr:col>
                    <xdr:colOff>83820</xdr:colOff>
                    <xdr:row>28</xdr:row>
                    <xdr:rowOff>152400</xdr:rowOff>
                  </from>
                  <to>
                    <xdr:col>8</xdr:col>
                    <xdr:colOff>525780</xdr:colOff>
                    <xdr:row>30</xdr:row>
                    <xdr:rowOff>60960</xdr:rowOff>
                  </to>
                </anchor>
              </controlPr>
            </control>
          </mc:Choice>
        </mc:AlternateContent>
        <mc:AlternateContent xmlns:mc="http://schemas.openxmlformats.org/markup-compatibility/2006">
          <mc:Choice Requires="x14">
            <control shapeId="74754" r:id="rId4" name="Spinner 2">
              <controlPr defaultSize="0" autoPict="0">
                <anchor moveWithCells="1" sizeWithCells="1">
                  <from>
                    <xdr:col>8</xdr:col>
                    <xdr:colOff>83820</xdr:colOff>
                    <xdr:row>71</xdr:row>
                    <xdr:rowOff>152400</xdr:rowOff>
                  </from>
                  <to>
                    <xdr:col>8</xdr:col>
                    <xdr:colOff>525780</xdr:colOff>
                    <xdr:row>73</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0A0E4-48A7-47FF-8D30-7D6CB877E210}">
  <sheetPr codeName="Hoja3">
    <tabColor rgb="FF025C67"/>
    <pageSetUpPr fitToPage="1"/>
  </sheetPr>
  <dimension ref="A1:J33"/>
  <sheetViews>
    <sheetView showGridLines="0" zoomScale="102" zoomScaleNormal="65" zoomScaleSheetLayoutView="65" zoomScalePageLayoutView="65" workbookViewId="0">
      <selection activeCell="E10" sqref="E10:F10"/>
    </sheetView>
  </sheetViews>
  <sheetFormatPr baseColWidth="10" defaultColWidth="11.5546875" defaultRowHeight="18"/>
  <cols>
    <col min="1" max="1" width="3.109375" style="527" customWidth="1"/>
    <col min="2" max="3" width="16.33203125" style="527" customWidth="1"/>
    <col min="4" max="4" width="16.21875" style="527" customWidth="1"/>
    <col min="5" max="5" width="19.77734375" style="527" customWidth="1"/>
    <col min="6" max="6" width="17.109375" style="527" customWidth="1"/>
    <col min="7" max="7" width="8.21875" style="527" customWidth="1"/>
    <col min="8" max="8" width="48.5546875" style="527" customWidth="1"/>
    <col min="9" max="11" width="9.5546875" style="527" customWidth="1"/>
    <col min="12" max="16384" width="11.5546875" style="527"/>
  </cols>
  <sheetData>
    <row r="1" spans="1:10" ht="22.2">
      <c r="A1" s="803" t="s">
        <v>392</v>
      </c>
      <c r="B1" s="803"/>
      <c r="C1" s="803"/>
      <c r="D1" s="803"/>
      <c r="E1" s="803"/>
      <c r="F1" s="803"/>
      <c r="H1" s="556"/>
    </row>
    <row r="2" spans="1:10" ht="6.75" customHeight="1"/>
    <row r="3" spans="1:10" ht="30.45" customHeight="1">
      <c r="A3" s="839" t="s">
        <v>426</v>
      </c>
      <c r="B3" s="823" t="s">
        <v>430</v>
      </c>
      <c r="C3" s="824"/>
      <c r="D3" s="825"/>
      <c r="E3" s="841" t="s">
        <v>469</v>
      </c>
      <c r="F3" s="842"/>
      <c r="G3" s="528"/>
      <c r="H3" s="288" t="s">
        <v>468</v>
      </c>
      <c r="I3" s="530"/>
      <c r="J3" s="530"/>
    </row>
    <row r="4" spans="1:10" ht="21" customHeight="1">
      <c r="A4" s="839"/>
      <c r="B4" s="830" t="s">
        <v>376</v>
      </c>
      <c r="C4" s="831"/>
      <c r="D4" s="832"/>
      <c r="E4" s="843">
        <f ca="1">TODAY()</f>
        <v>46238</v>
      </c>
      <c r="F4" s="844"/>
      <c r="H4" s="529"/>
      <c r="I4" s="530"/>
      <c r="J4" s="530"/>
    </row>
    <row r="5" spans="1:10" ht="21" customHeight="1">
      <c r="A5" s="839"/>
      <c r="B5" s="827" t="s">
        <v>377</v>
      </c>
      <c r="C5" s="828"/>
      <c r="D5" s="829"/>
      <c r="E5" s="845">
        <v>25233</v>
      </c>
      <c r="F5" s="846">
        <v>23961</v>
      </c>
      <c r="G5" s="531"/>
      <c r="I5" s="530"/>
      <c r="J5" s="530"/>
    </row>
    <row r="6" spans="1:10" ht="21" customHeight="1">
      <c r="A6" s="839"/>
      <c r="B6" s="830" t="s">
        <v>378</v>
      </c>
      <c r="C6" s="831"/>
      <c r="D6" s="832"/>
      <c r="E6" s="847">
        <v>60.51</v>
      </c>
      <c r="F6" s="848">
        <v>60.183436002737849</v>
      </c>
      <c r="G6" s="531"/>
      <c r="H6" s="532"/>
      <c r="I6" s="530"/>
      <c r="J6" s="530"/>
    </row>
    <row r="7" spans="1:10" ht="21" customHeight="1">
      <c r="A7" s="839"/>
      <c r="B7" s="827" t="s">
        <v>433</v>
      </c>
      <c r="C7" s="828"/>
      <c r="D7" s="829"/>
      <c r="E7" s="814"/>
      <c r="F7" s="815">
        <v>1046</v>
      </c>
      <c r="G7" s="531"/>
      <c r="H7" s="529"/>
      <c r="I7" s="530"/>
      <c r="J7" s="530"/>
    </row>
    <row r="8" spans="1:10" ht="25.95" customHeight="1">
      <c r="A8" s="839"/>
      <c r="B8" s="830" t="s">
        <v>443</v>
      </c>
      <c r="C8" s="831"/>
      <c r="D8" s="832"/>
      <c r="E8" s="812">
        <v>1960</v>
      </c>
      <c r="F8" s="813"/>
      <c r="G8" s="533"/>
      <c r="H8" s="534"/>
      <c r="I8" s="530"/>
      <c r="J8" s="530"/>
    </row>
    <row r="9" spans="1:10" ht="21" customHeight="1">
      <c r="A9" s="839"/>
      <c r="B9" s="827" t="s">
        <v>379</v>
      </c>
      <c r="C9" s="828"/>
      <c r="D9" s="829"/>
      <c r="E9" s="814" t="s">
        <v>86</v>
      </c>
      <c r="F9" s="815" t="s">
        <v>86</v>
      </c>
      <c r="G9" s="533"/>
      <c r="H9" s="529"/>
      <c r="I9" s="530"/>
      <c r="J9" s="530"/>
    </row>
    <row r="10" spans="1:10" ht="21" customHeight="1">
      <c r="A10" s="839"/>
      <c r="B10" s="830" t="s">
        <v>380</v>
      </c>
      <c r="C10" s="831"/>
      <c r="D10" s="832"/>
      <c r="E10" s="812" t="s">
        <v>85</v>
      </c>
      <c r="F10" s="813" t="s">
        <v>85</v>
      </c>
      <c r="G10" s="530"/>
      <c r="H10" s="529"/>
      <c r="I10" s="530"/>
      <c r="J10" s="530"/>
    </row>
    <row r="11" spans="1:10" ht="21.45" customHeight="1">
      <c r="A11" s="839"/>
      <c r="B11" s="827" t="s">
        <v>422</v>
      </c>
      <c r="C11" s="828"/>
      <c r="D11" s="829"/>
      <c r="E11" s="814">
        <v>1</v>
      </c>
      <c r="F11" s="815">
        <v>0</v>
      </c>
      <c r="G11" s="530"/>
      <c r="H11" s="529"/>
      <c r="I11" s="530"/>
      <c r="J11" s="530"/>
    </row>
    <row r="12" spans="1:10" ht="21" customHeight="1">
      <c r="A12" s="839"/>
      <c r="B12" s="833" t="s">
        <v>381</v>
      </c>
      <c r="C12" s="834"/>
      <c r="D12" s="835"/>
      <c r="E12" s="816">
        <v>0</v>
      </c>
      <c r="F12" s="817">
        <v>0</v>
      </c>
      <c r="G12" s="535"/>
      <c r="H12" s="535"/>
    </row>
    <row r="13" spans="1:10" ht="6.9" customHeight="1">
      <c r="B13" s="543"/>
      <c r="C13" s="543"/>
      <c r="D13" s="544"/>
      <c r="E13" s="504"/>
      <c r="F13" s="545"/>
      <c r="G13" s="538"/>
      <c r="H13" s="529"/>
    </row>
    <row r="14" spans="1:10" ht="24.9" customHeight="1">
      <c r="A14" s="840" t="s">
        <v>389</v>
      </c>
      <c r="B14" s="836" t="s">
        <v>382</v>
      </c>
      <c r="C14" s="837"/>
      <c r="D14" s="838"/>
      <c r="E14" s="804">
        <f ca="1">YEARFRAC(E5,E4,1)</f>
        <v>57.509913141993955</v>
      </c>
      <c r="F14" s="805"/>
      <c r="G14" s="530"/>
      <c r="H14" s="529"/>
    </row>
    <row r="15" spans="1:10" ht="24.9" customHeight="1">
      <c r="A15" s="840"/>
      <c r="B15" s="849" t="s">
        <v>383</v>
      </c>
      <c r="C15" s="850"/>
      <c r="D15" s="851"/>
      <c r="E15" s="806">
        <f>IF(E9="SI",(E16-E4)/7,0)</f>
        <v>0</v>
      </c>
      <c r="F15" s="807"/>
      <c r="G15" s="530"/>
      <c r="H15" s="529"/>
    </row>
    <row r="16" spans="1:10" ht="36.450000000000003" customHeight="1">
      <c r="A16" s="840"/>
      <c r="B16" s="852" t="s">
        <v>384</v>
      </c>
      <c r="C16" s="853"/>
      <c r="D16" s="854"/>
      <c r="E16" s="808">
        <f ca="1">E5+E14*365.25+($E$6-$E$14)*365.25</f>
        <v>47334.277499999997</v>
      </c>
      <c r="F16" s="809"/>
      <c r="G16" s="530"/>
      <c r="H16" s="529"/>
    </row>
    <row r="17" spans="1:10" ht="6.9" customHeight="1">
      <c r="D17" s="536"/>
      <c r="E17" s="537"/>
      <c r="G17" s="538"/>
      <c r="H17" s="529"/>
    </row>
    <row r="18" spans="1:10" ht="31.2" customHeight="1">
      <c r="A18" s="539"/>
      <c r="B18" s="826" t="s">
        <v>385</v>
      </c>
      <c r="C18" s="826"/>
      <c r="D18" s="826"/>
      <c r="E18" s="810">
        <f>IF(MOD(E6,1)&lt;0.501, FLOOR(E6,1), CEILING(E6,1))</f>
        <v>61</v>
      </c>
      <c r="F18" s="810"/>
      <c r="G18" s="530"/>
      <c r="H18" s="540"/>
    </row>
    <row r="19" spans="1:10" ht="6" customHeight="1">
      <c r="A19" s="539"/>
      <c r="B19" s="524"/>
      <c r="C19" s="524"/>
      <c r="D19" s="525"/>
      <c r="E19" s="541"/>
      <c r="G19" s="530"/>
      <c r="H19" s="540"/>
      <c r="I19" s="530"/>
      <c r="J19" s="530"/>
    </row>
    <row r="20" spans="1:10" ht="31.2" customHeight="1">
      <c r="A20" s="539"/>
      <c r="B20" s="826" t="s">
        <v>386</v>
      </c>
      <c r="C20" s="826"/>
      <c r="D20" s="826"/>
      <c r="E20" s="811">
        <f>'CAL. PROM. 250 SEM'!D6</f>
        <v>2281.5311428571431</v>
      </c>
      <c r="F20" s="811"/>
      <c r="G20" s="529"/>
      <c r="H20" s="540"/>
      <c r="I20" s="530"/>
      <c r="J20" s="530"/>
    </row>
    <row r="21" spans="1:10" ht="6" customHeight="1">
      <c r="A21" s="539"/>
      <c r="B21" s="524"/>
      <c r="C21" s="524"/>
      <c r="D21" s="525"/>
      <c r="E21" s="541"/>
      <c r="G21" s="530"/>
      <c r="H21" s="540"/>
      <c r="I21" s="530"/>
      <c r="J21" s="530"/>
    </row>
    <row r="22" spans="1:10" ht="31.2" customHeight="1">
      <c r="A22" s="539"/>
      <c r="B22" s="826" t="s">
        <v>388</v>
      </c>
      <c r="C22" s="826"/>
      <c r="D22" s="826"/>
      <c r="E22" s="801">
        <f>+E7+E8+E15</f>
        <v>1960</v>
      </c>
      <c r="F22" s="801"/>
      <c r="G22" s="530"/>
      <c r="H22" s="540"/>
      <c r="I22" s="530"/>
      <c r="J22" s="530"/>
    </row>
    <row r="23" spans="1:10" ht="6.9" customHeight="1">
      <c r="D23" s="536"/>
      <c r="E23" s="536"/>
      <c r="F23" s="537"/>
      <c r="G23" s="538"/>
      <c r="H23" s="540"/>
      <c r="I23" s="530"/>
      <c r="J23" s="530"/>
    </row>
    <row r="24" spans="1:10" ht="6.9" customHeight="1">
      <c r="H24" s="539"/>
    </row>
    <row r="25" spans="1:10" ht="24.9" customHeight="1">
      <c r="A25" s="533"/>
      <c r="B25" s="533"/>
      <c r="C25" s="820" t="s">
        <v>421</v>
      </c>
      <c r="D25" s="821"/>
      <c r="E25" s="822"/>
    </row>
    <row r="26" spans="1:10" ht="21.45" customHeight="1">
      <c r="C26" s="546" t="s">
        <v>62</v>
      </c>
      <c r="D26" s="547" t="s">
        <v>60</v>
      </c>
      <c r="E26" s="548" t="s">
        <v>390</v>
      </c>
    </row>
    <row r="27" spans="1:10" ht="18.45" customHeight="1">
      <c r="C27" s="549" t="s">
        <v>63</v>
      </c>
      <c r="D27" s="550">
        <v>65</v>
      </c>
      <c r="E27" s="551">
        <v>1</v>
      </c>
    </row>
    <row r="28" spans="1:10" ht="18.45" customHeight="1">
      <c r="C28" s="818" t="s">
        <v>391</v>
      </c>
      <c r="D28" s="552">
        <v>64</v>
      </c>
      <c r="E28" s="553">
        <v>0.95</v>
      </c>
    </row>
    <row r="29" spans="1:10" ht="18.45" customHeight="1">
      <c r="C29" s="818"/>
      <c r="D29" s="552">
        <v>63</v>
      </c>
      <c r="E29" s="553">
        <v>0.9</v>
      </c>
    </row>
    <row r="30" spans="1:10" ht="18.45" customHeight="1">
      <c r="C30" s="818"/>
      <c r="D30" s="552">
        <v>62</v>
      </c>
      <c r="E30" s="553">
        <v>0.85</v>
      </c>
    </row>
    <row r="31" spans="1:10" ht="18.45" customHeight="1">
      <c r="C31" s="818"/>
      <c r="D31" s="552">
        <v>61</v>
      </c>
      <c r="E31" s="553">
        <v>0.8</v>
      </c>
    </row>
    <row r="32" spans="1:10" ht="18.45" customHeight="1">
      <c r="C32" s="819"/>
      <c r="D32" s="554">
        <v>60</v>
      </c>
      <c r="E32" s="555">
        <v>0.75</v>
      </c>
    </row>
    <row r="33" spans="1:6" ht="31.95" customHeight="1">
      <c r="A33" s="542"/>
      <c r="B33" s="802" t="s">
        <v>444</v>
      </c>
      <c r="C33" s="802"/>
      <c r="D33" s="802"/>
      <c r="E33" s="802"/>
      <c r="F33" s="802"/>
    </row>
  </sheetData>
  <sheetProtection algorithmName="SHA-512" hashValue="8odA9HGikrV1JEvzywJiJWUZs1nmovxN+jiNfsBFLoLvdmQ3IwaAMihbFwGQi4dDuodiHT5VIsQtImbhK0qWSw==" saltValue="WtZV4AutVvbVBnOfrl1WOw==" spinCount="100000" sheet="1" objects="1" scenarios="1"/>
  <protectedRanges>
    <protectedRange sqref="E11" name="Rango7"/>
    <protectedRange sqref="E3" name="Rango1"/>
    <protectedRange sqref="E8:E9" name="Rango4"/>
    <protectedRange sqref="E10" name="Rango6"/>
    <protectedRange sqref="E12" name="Rango8"/>
    <protectedRange sqref="E4" name="Rango9_1"/>
    <protectedRange sqref="E6" name="Rango5_1"/>
    <protectedRange sqref="E5" name="Rango2_1"/>
    <protectedRange sqref="E7" name="Rango3_1"/>
  </protectedRanges>
  <mergeCells count="38">
    <mergeCell ref="A3:A12"/>
    <mergeCell ref="A14:A16"/>
    <mergeCell ref="E3:F3"/>
    <mergeCell ref="E4:F4"/>
    <mergeCell ref="E5:F5"/>
    <mergeCell ref="E6:F6"/>
    <mergeCell ref="E7:F7"/>
    <mergeCell ref="B15:D15"/>
    <mergeCell ref="B16:D16"/>
    <mergeCell ref="B4:D4"/>
    <mergeCell ref="B5:D5"/>
    <mergeCell ref="B6:D6"/>
    <mergeCell ref="B7:D7"/>
    <mergeCell ref="B8:D8"/>
    <mergeCell ref="B18:D18"/>
    <mergeCell ref="B20:D20"/>
    <mergeCell ref="B22:D22"/>
    <mergeCell ref="B9:D9"/>
    <mergeCell ref="B10:D10"/>
    <mergeCell ref="B11:D11"/>
    <mergeCell ref="B12:D12"/>
    <mergeCell ref="B14:D14"/>
    <mergeCell ref="E22:F22"/>
    <mergeCell ref="B33:F33"/>
    <mergeCell ref="A1:F1"/>
    <mergeCell ref="E14:F14"/>
    <mergeCell ref="E15:F15"/>
    <mergeCell ref="E16:F16"/>
    <mergeCell ref="E18:F18"/>
    <mergeCell ref="E20:F20"/>
    <mergeCell ref="E8:F8"/>
    <mergeCell ref="E9:F9"/>
    <mergeCell ref="E10:F10"/>
    <mergeCell ref="E11:F11"/>
    <mergeCell ref="E12:F12"/>
    <mergeCell ref="C28:C32"/>
    <mergeCell ref="C25:E25"/>
    <mergeCell ref="B3:D3"/>
  </mergeCells>
  <conditionalFormatting sqref="D27:E27">
    <cfRule type="expression" dxfId="48" priority="6">
      <formula>$E18=65</formula>
    </cfRule>
    <cfRule type="expression" dxfId="47" priority="7">
      <formula>"si+$F$18=65"</formula>
    </cfRule>
  </conditionalFormatting>
  <conditionalFormatting sqref="D28:E28">
    <cfRule type="expression" dxfId="46" priority="5">
      <formula>$E18=64</formula>
    </cfRule>
  </conditionalFormatting>
  <conditionalFormatting sqref="D29:E29">
    <cfRule type="expression" dxfId="45" priority="4">
      <formula>$E18=63</formula>
    </cfRule>
  </conditionalFormatting>
  <conditionalFormatting sqref="D30:E30">
    <cfRule type="expression" dxfId="44" priority="3">
      <formula>$E18=62</formula>
    </cfRule>
  </conditionalFormatting>
  <conditionalFormatting sqref="D31:E31">
    <cfRule type="expression" dxfId="43" priority="2">
      <formula>$E18=61</formula>
    </cfRule>
  </conditionalFormatting>
  <conditionalFormatting sqref="D32:E32">
    <cfRule type="expression" dxfId="42" priority="1">
      <formula>$E18=60</formula>
    </cfRule>
  </conditionalFormatting>
  <dataValidations count="2">
    <dataValidation type="date" allowBlank="1" showInputMessage="1" showErrorMessage="1" errorTitle="Fecha de nacimiento" error="Ingresa tu fecha de nacimiento en formato (DD/MM/AAAA)." sqref="E5" xr:uid="{3D838A33-A5C6-497C-BBCA-BD68147D92CA}">
      <formula1>14611</formula1>
      <formula2>29952</formula2>
    </dataValidation>
    <dataValidation type="date" allowBlank="1" showInputMessage="1" showErrorMessage="1" errorTitle="Fecha no válida." error="Ingresa la fecha de cálculo del proyecto en formato (DD/MM/AAAA)." sqref="E4" xr:uid="{5969B592-9CBF-464E-A2FF-02ABB7E94B40}">
      <formula1>42005</formula1>
      <formula2>51136</formula2>
    </dataValidation>
  </dataValidations>
  <pageMargins left="0.70866141732283472" right="0.70866141732283472" top="0.74803149606299213" bottom="0.74803149606299213" header="0.31496062992125984" footer="0.31496062992125984"/>
  <pageSetup paperSize="194"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B15754DD-D8D3-40C0-941B-E331992CF094}">
          <x14:formula1>
            <xm:f>'1'!$H$3:$H$8</xm:f>
          </x14:formula1>
          <xm:sqref>E11</xm:sqref>
        </x14:dataValidation>
        <x14:dataValidation type="list" allowBlank="1" showInputMessage="1" showErrorMessage="1" errorTitle="Padres dependientes" error="Máximo de padres dependientes: 2" xr:uid="{2F93F50D-6C1C-4F52-A7A8-7A547879CE30}">
          <x14:formula1>
            <xm:f>'1'!$I$3:$I$5</xm:f>
          </x14:formula1>
          <xm:sqref>E12</xm:sqref>
        </x14:dataValidation>
        <x14:dataValidation type="list" allowBlank="1" showInputMessage="1" showErrorMessage="1" xr:uid="{DEBFE019-4E0F-45BC-8D20-A370450391C9}">
          <x14:formula1>
            <xm:f>'1'!$G$3:$G$17</xm:f>
          </x14:formula1>
          <xm:sqref>E6</xm:sqref>
        </x14:dataValidation>
        <x14:dataValidation type="list" allowBlank="1" showInputMessage="1" showErrorMessage="1" xr:uid="{C5C07D26-5D64-44B2-A8FD-ADD15F3F29CA}">
          <x14:formula1>
            <xm:f>'1'!$J$3:$J$4</xm:f>
          </x14:formula1>
          <xm:sqref>E9:E10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25C67"/>
  </sheetPr>
  <dimension ref="A1:AI81"/>
  <sheetViews>
    <sheetView showGridLines="0" topLeftCell="A61" zoomScale="77" zoomScaleNormal="145" workbookViewId="0">
      <selection activeCell="B152" sqref="B152"/>
    </sheetView>
  </sheetViews>
  <sheetFormatPr baseColWidth="10" defaultColWidth="11.44140625" defaultRowHeight="21"/>
  <cols>
    <col min="1" max="1" width="2" style="20" customWidth="1"/>
    <col min="2" max="2" width="61.77734375" style="20" customWidth="1"/>
    <col min="3" max="3" width="43.33203125" style="20" customWidth="1"/>
    <col min="4" max="5" width="4.109375" style="20" customWidth="1"/>
    <col min="6" max="6" width="48.33203125" style="20" customWidth="1"/>
    <col min="7" max="12" width="14.5546875" style="22" customWidth="1"/>
    <col min="13" max="35" width="11.44140625" style="22"/>
    <col min="36" max="16384" width="11.44140625" style="20"/>
  </cols>
  <sheetData>
    <row r="1" spans="2:35" ht="39.450000000000003" customHeight="1">
      <c r="B1" s="866" t="s">
        <v>46</v>
      </c>
      <c r="C1" s="867"/>
      <c r="D1" s="21"/>
      <c r="F1" s="282"/>
      <c r="AG1" s="20"/>
      <c r="AH1" s="20"/>
      <c r="AI1" s="20"/>
    </row>
    <row r="2" spans="2:35" ht="10.050000000000001" customHeight="1">
      <c r="B2" s="47"/>
      <c r="E2" s="282"/>
      <c r="F2" s="282"/>
    </row>
    <row r="3" spans="2:35" s="283" customFormat="1" ht="40.049999999999997" customHeight="1" thickBot="1">
      <c r="B3" s="869" t="s">
        <v>131</v>
      </c>
      <c r="C3" s="869"/>
      <c r="E3" s="282"/>
      <c r="F3" s="282"/>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row>
    <row r="4" spans="2:35" ht="21.6" thickBot="1">
      <c r="B4" s="870" t="s">
        <v>98</v>
      </c>
      <c r="C4" s="871"/>
      <c r="E4" s="282"/>
      <c r="F4" s="280" t="s">
        <v>225</v>
      </c>
    </row>
    <row r="5" spans="2:35" ht="29.25" customHeight="1">
      <c r="B5" s="285" t="s">
        <v>225</v>
      </c>
      <c r="C5" s="286">
        <f ca="1">IF('DATOS GEN.'!E4&gt;=TODAY(),YEAR('DATOS GEN.'!E16),YEAR('DATOS GEN.'!E4))</f>
        <v>2029</v>
      </c>
      <c r="E5" s="282"/>
      <c r="F5" s="287"/>
    </row>
    <row r="6" spans="2:35">
      <c r="B6" s="162" t="s">
        <v>120</v>
      </c>
      <c r="C6" s="163">
        <f ca="1">VLOOKUP(C5,'1'!N3:O29,2,FALSE)</f>
        <v>133.87019812374999</v>
      </c>
      <c r="E6" s="282"/>
      <c r="F6" s="287"/>
    </row>
    <row r="7" spans="2:35" ht="21.6" thickBot="1">
      <c r="B7" s="164" t="s">
        <v>94</v>
      </c>
      <c r="C7" s="165">
        <f ca="1">VLOOKUP(C5,'1'!N3:P29,3,FALSE)</f>
        <v>372.04087808271993</v>
      </c>
      <c r="E7" s="282"/>
      <c r="F7" s="287"/>
    </row>
    <row r="8" spans="2:35">
      <c r="B8" s="857" t="s">
        <v>132</v>
      </c>
      <c r="C8" s="857"/>
      <c r="E8" s="282"/>
      <c r="F8" s="282"/>
    </row>
    <row r="9" spans="2:35">
      <c r="B9" s="857"/>
      <c r="C9" s="857"/>
      <c r="E9" s="282"/>
      <c r="F9" s="282"/>
    </row>
    <row r="10" spans="2:35" s="23" customFormat="1" ht="25.95" customHeight="1" thickBot="1">
      <c r="B10" s="863" t="s">
        <v>11</v>
      </c>
      <c r="C10" s="863"/>
      <c r="D10" s="24"/>
      <c r="G10" s="24"/>
      <c r="H10" s="24"/>
      <c r="I10" s="24"/>
      <c r="J10" s="24"/>
      <c r="K10" s="24"/>
      <c r="L10" s="24"/>
      <c r="M10" s="24"/>
      <c r="N10" s="24"/>
      <c r="O10" s="24"/>
      <c r="P10" s="24"/>
      <c r="Q10" s="24"/>
      <c r="R10" s="24"/>
      <c r="S10" s="24"/>
      <c r="T10" s="24"/>
      <c r="U10" s="24"/>
      <c r="V10" s="24"/>
      <c r="W10" s="24"/>
      <c r="X10" s="24"/>
      <c r="Y10" s="24"/>
      <c r="Z10" s="24"/>
      <c r="AA10" s="24"/>
      <c r="AB10" s="24"/>
    </row>
    <row r="11" spans="2:35" ht="24" customHeight="1" thickBot="1">
      <c r="B11" s="872" t="s">
        <v>12</v>
      </c>
      <c r="C11" s="873"/>
      <c r="D11" s="22"/>
      <c r="AF11" s="20"/>
      <c r="AG11" s="20"/>
      <c r="AH11" s="20"/>
      <c r="AI11" s="20"/>
    </row>
    <row r="12" spans="2:35" ht="21" customHeight="1">
      <c r="B12" s="119" t="s">
        <v>30</v>
      </c>
      <c r="C12" s="141">
        <f>'DATOS GEN.'!E20</f>
        <v>2281.5311428571431</v>
      </c>
      <c r="D12" s="22"/>
      <c r="AF12" s="20"/>
      <c r="AG12" s="20"/>
      <c r="AH12" s="20"/>
      <c r="AI12" s="20"/>
    </row>
    <row r="13" spans="2:35" ht="21" customHeight="1">
      <c r="B13" s="85" t="s">
        <v>99</v>
      </c>
      <c r="C13" s="195">
        <f ca="1">C6</f>
        <v>133.87019812374999</v>
      </c>
      <c r="D13" s="161"/>
      <c r="AF13" s="20"/>
      <c r="AG13" s="20"/>
      <c r="AH13" s="20"/>
      <c r="AI13" s="20"/>
    </row>
    <row r="14" spans="2:35" ht="21" customHeight="1" thickBot="1">
      <c r="B14" s="120" t="s">
        <v>100</v>
      </c>
      <c r="C14" s="196">
        <f ca="1">C7</f>
        <v>372.04087808271993</v>
      </c>
      <c r="D14" s="161"/>
      <c r="AF14" s="20"/>
      <c r="AG14" s="20"/>
      <c r="AH14" s="20"/>
      <c r="AI14" s="20"/>
    </row>
    <row r="15" spans="2:35" ht="23.7" customHeight="1" thickBot="1">
      <c r="B15" s="114" t="s">
        <v>28</v>
      </c>
      <c r="C15" s="121">
        <f ca="1">+C12/C13</f>
        <v>17.042860732514114</v>
      </c>
      <c r="D15" s="29"/>
      <c r="G15" s="28"/>
    </row>
    <row r="16" spans="2:35" ht="12" customHeight="1">
      <c r="B16" s="11" t="s">
        <v>128</v>
      </c>
      <c r="C16" s="29"/>
      <c r="D16" s="29"/>
      <c r="G16" s="28"/>
    </row>
    <row r="17" spans="1:35" ht="12" customHeight="1">
      <c r="B17" s="11" t="s">
        <v>129</v>
      </c>
      <c r="C17" s="29"/>
      <c r="D17" s="29"/>
      <c r="E17" s="30"/>
      <c r="F17" s="31"/>
      <c r="G17" s="28"/>
    </row>
    <row r="18" spans="1:35" s="6" customFormat="1" ht="15" customHeight="1" thickBot="1">
      <c r="A18" s="20"/>
      <c r="B18" s="11" t="s">
        <v>29</v>
      </c>
      <c r="C18" s="29"/>
    </row>
    <row r="19" spans="1:35" ht="24" customHeight="1" thickBot="1">
      <c r="B19" s="864" t="s">
        <v>35</v>
      </c>
      <c r="C19" s="865"/>
      <c r="D19" s="22"/>
      <c r="E19" s="22"/>
      <c r="F19" s="22"/>
      <c r="AF19" s="20"/>
      <c r="AG19" s="20"/>
      <c r="AH19" s="20"/>
      <c r="AI19" s="20"/>
    </row>
    <row r="20" spans="1:35" ht="21" customHeight="1">
      <c r="B20" s="87" t="s">
        <v>31</v>
      </c>
      <c r="C20" s="91">
        <f ca="1">VLOOKUP(C15,'1'!A3:D24,3,TRUE)</f>
        <v>0.13</v>
      </c>
      <c r="D20" s="22"/>
      <c r="AF20" s="20"/>
      <c r="AG20" s="20"/>
      <c r="AH20" s="20"/>
      <c r="AI20" s="20"/>
    </row>
    <row r="21" spans="1:35" ht="21" customHeight="1">
      <c r="B21" s="85" t="s">
        <v>32</v>
      </c>
      <c r="C21" s="89">
        <f ca="1">$C$12*$C$20</f>
        <v>296.59904857142863</v>
      </c>
      <c r="D21" s="22"/>
      <c r="E21" s="22"/>
      <c r="F21" s="22"/>
      <c r="AF21" s="20"/>
      <c r="AG21" s="20"/>
      <c r="AH21" s="20"/>
      <c r="AI21" s="20"/>
    </row>
    <row r="22" spans="1:35" ht="21" customHeight="1" thickBot="1">
      <c r="B22" s="86" t="s">
        <v>37</v>
      </c>
      <c r="C22" s="90">
        <v>365</v>
      </c>
      <c r="D22" s="22"/>
      <c r="E22" s="160"/>
      <c r="F22" s="32"/>
      <c r="AF22" s="20"/>
      <c r="AG22" s="20"/>
      <c r="AH22" s="20"/>
      <c r="AI22" s="20"/>
    </row>
    <row r="23" spans="1:35" ht="23.7" customHeight="1" thickBot="1">
      <c r="B23" s="114" t="s">
        <v>9</v>
      </c>
      <c r="C23" s="115">
        <f ca="1">C21*C22</f>
        <v>108258.65272857145</v>
      </c>
      <c r="D23" s="33"/>
      <c r="E23" s="34"/>
      <c r="J23" s="32"/>
    </row>
    <row r="24" spans="1:35" ht="24" customHeight="1">
      <c r="B24" s="857" t="s">
        <v>33</v>
      </c>
      <c r="C24" s="857"/>
      <c r="D24" s="33"/>
      <c r="E24" s="34"/>
      <c r="J24" s="32"/>
    </row>
    <row r="25" spans="1:35" ht="22.95" customHeight="1">
      <c r="B25" s="857" t="s">
        <v>34</v>
      </c>
      <c r="C25" s="857"/>
      <c r="D25" s="33"/>
      <c r="E25" s="34"/>
      <c r="J25" s="32"/>
    </row>
    <row r="26" spans="1:35" ht="12" customHeight="1" thickBot="1">
      <c r="B26" s="868" t="s">
        <v>36</v>
      </c>
      <c r="C26" s="868"/>
      <c r="D26" s="33"/>
      <c r="E26" s="34"/>
      <c r="J26" s="32"/>
    </row>
    <row r="27" spans="1:35" ht="24" customHeight="1" thickBot="1">
      <c r="B27" s="864" t="s">
        <v>13</v>
      </c>
      <c r="C27" s="865"/>
      <c r="D27" s="22"/>
      <c r="F27" s="22"/>
      <c r="AF27" s="20"/>
      <c r="AG27" s="20"/>
      <c r="AH27" s="20"/>
      <c r="AI27" s="20"/>
    </row>
    <row r="28" spans="1:35" ht="21" customHeight="1">
      <c r="B28" s="87" t="s">
        <v>39</v>
      </c>
      <c r="C28" s="96">
        <f ca="1">VLOOKUP(C15,'1'!A3:D24,4,TRUE)</f>
        <v>2.4500000000000001E-2</v>
      </c>
      <c r="D28" s="22"/>
      <c r="E28" s="22"/>
      <c r="F28" s="22"/>
      <c r="AF28" s="20"/>
      <c r="AG28" s="20"/>
      <c r="AH28" s="20"/>
      <c r="AI28" s="20"/>
    </row>
    <row r="29" spans="1:35" ht="21" customHeight="1">
      <c r="B29" s="85" t="s">
        <v>40</v>
      </c>
      <c r="C29" s="89">
        <f ca="1">$C$12*$C$28</f>
        <v>55.897513000000011</v>
      </c>
      <c r="D29" s="22"/>
      <c r="E29" s="22"/>
      <c r="F29" s="22"/>
      <c r="AF29" s="20"/>
      <c r="AG29" s="20"/>
      <c r="AH29" s="20"/>
      <c r="AI29" s="20"/>
    </row>
    <row r="30" spans="1:35" ht="21" customHeight="1">
      <c r="B30" s="85" t="s">
        <v>37</v>
      </c>
      <c r="C30" s="92">
        <v>365</v>
      </c>
      <c r="D30" s="22"/>
      <c r="E30" s="22"/>
      <c r="F30" s="22"/>
      <c r="AF30" s="20"/>
      <c r="AG30" s="20"/>
      <c r="AH30" s="20"/>
      <c r="AI30" s="20"/>
    </row>
    <row r="31" spans="1:35" ht="21" customHeight="1">
      <c r="B31" s="85" t="s">
        <v>1</v>
      </c>
      <c r="C31" s="93">
        <f ca="1">$C$29*$C$30</f>
        <v>20402.592245000003</v>
      </c>
      <c r="D31" s="22"/>
      <c r="E31" s="22"/>
      <c r="F31" s="22"/>
      <c r="AF31" s="20"/>
      <c r="AG31" s="20"/>
      <c r="AH31" s="20"/>
      <c r="AI31" s="20"/>
    </row>
    <row r="32" spans="1:35" ht="21" customHeight="1">
      <c r="B32" s="85" t="s">
        <v>41</v>
      </c>
      <c r="C32" s="94">
        <f>('DATOS GEN.'!$E$22-500)/52</f>
        <v>28.076923076923077</v>
      </c>
      <c r="D32" s="22"/>
      <c r="E32" s="22"/>
      <c r="F32" s="22"/>
      <c r="AF32" s="20"/>
      <c r="AG32" s="20"/>
      <c r="AH32" s="20"/>
      <c r="AI32" s="20"/>
    </row>
    <row r="33" spans="1:35" ht="21" customHeight="1" thickBot="1">
      <c r="B33" s="86" t="s">
        <v>38</v>
      </c>
      <c r="C33" s="95">
        <f>INT(C32) + IF(MOD(C32,1)&gt;=27/52,1,IF(MOD(C32,1)&gt;=13/52,0.5,0))</f>
        <v>28</v>
      </c>
      <c r="D33" s="22"/>
      <c r="E33" s="22"/>
      <c r="F33" s="22"/>
      <c r="AF33" s="20"/>
      <c r="AG33" s="20"/>
      <c r="AH33" s="20"/>
      <c r="AI33" s="20"/>
    </row>
    <row r="34" spans="1:35" ht="25.2" customHeight="1" thickBot="1">
      <c r="B34" s="122" t="s">
        <v>4</v>
      </c>
      <c r="C34" s="115">
        <f ca="1">$C$31*$C$33</f>
        <v>571272.58286000008</v>
      </c>
      <c r="D34" s="33"/>
      <c r="E34" s="34"/>
      <c r="J34" s="32"/>
    </row>
    <row r="35" spans="1:35" ht="23.7" customHeight="1">
      <c r="B35" s="857" t="s">
        <v>43</v>
      </c>
      <c r="C35" s="857"/>
      <c r="D35" s="33"/>
      <c r="E35" s="34"/>
      <c r="J35" s="32"/>
    </row>
    <row r="36" spans="1:35" ht="23.7" customHeight="1">
      <c r="B36" s="857" t="s">
        <v>44</v>
      </c>
      <c r="C36" s="857"/>
      <c r="D36" s="33"/>
      <c r="E36" s="34"/>
      <c r="J36" s="32"/>
    </row>
    <row r="37" spans="1:35" s="28" customFormat="1" ht="23.7" customHeight="1" thickBot="1">
      <c r="A37" s="20"/>
      <c r="B37" s="857" t="s">
        <v>42</v>
      </c>
      <c r="C37" s="857"/>
      <c r="D37" s="22"/>
      <c r="E37" s="22"/>
      <c r="G37" s="22"/>
      <c r="H37" s="22"/>
      <c r="I37" s="22"/>
    </row>
    <row r="38" spans="1:35" s="28" customFormat="1" ht="32.700000000000003" customHeight="1" thickTop="1" thickBot="1">
      <c r="B38" s="36" t="s">
        <v>50</v>
      </c>
      <c r="C38" s="37">
        <f ca="1">+$C$34+$C$23</f>
        <v>679531.23558857152</v>
      </c>
      <c r="D38" s="22"/>
      <c r="E38" s="34"/>
      <c r="G38" s="22"/>
      <c r="H38" s="22"/>
      <c r="I38" s="22"/>
    </row>
    <row r="39" spans="1:35" s="38" customFormat="1" ht="12" customHeight="1" thickTop="1">
      <c r="A39" s="28"/>
      <c r="B39" s="868" t="s">
        <v>45</v>
      </c>
      <c r="C39" s="868"/>
    </row>
    <row r="40" spans="1:35" s="39" customFormat="1" ht="33" customHeight="1" thickBot="1">
      <c r="B40" s="863" t="s">
        <v>111</v>
      </c>
      <c r="C40" s="863"/>
    </row>
    <row r="41" spans="1:35" s="38" customFormat="1" ht="24.45" customHeight="1" thickBot="1">
      <c r="B41" s="872" t="s">
        <v>104</v>
      </c>
      <c r="C41" s="873"/>
    </row>
    <row r="42" spans="1:35" s="38" customFormat="1" ht="21.75" customHeight="1">
      <c r="B42" s="97" t="s">
        <v>5</v>
      </c>
      <c r="C42" s="98">
        <f ca="1">'FACT. + ASIG.'!$C$38</f>
        <v>679531.23558857152</v>
      </c>
    </row>
    <row r="43" spans="1:35" s="38" customFormat="1" ht="21.75" customHeight="1" thickBot="1">
      <c r="B43" s="99" t="s">
        <v>54</v>
      </c>
      <c r="C43" s="100">
        <v>0.15</v>
      </c>
    </row>
    <row r="44" spans="1:35" s="38" customFormat="1" ht="25.2" customHeight="1" thickBot="1">
      <c r="B44" s="123" t="s">
        <v>6</v>
      </c>
      <c r="C44" s="115">
        <f ca="1">IF('DATOS GEN.'!$E$10="NO",0,$C$42*$C$43)</f>
        <v>101929.68533828572</v>
      </c>
    </row>
    <row r="45" spans="1:35" s="38" customFormat="1" ht="22.95" customHeight="1">
      <c r="B45" s="857" t="s">
        <v>47</v>
      </c>
      <c r="C45" s="857"/>
      <c r="D45" s="40"/>
      <c r="E45" s="41"/>
    </row>
    <row r="46" spans="1:35" s="38" customFormat="1" ht="23.7" customHeight="1" thickBot="1">
      <c r="B46" s="857" t="s">
        <v>126</v>
      </c>
      <c r="C46" s="857"/>
      <c r="D46" s="40"/>
      <c r="E46" s="41"/>
    </row>
    <row r="47" spans="1:35" s="38" customFormat="1" ht="27" customHeight="1" thickBot="1">
      <c r="B47" s="872" t="s">
        <v>103</v>
      </c>
      <c r="C47" s="873"/>
    </row>
    <row r="48" spans="1:35" s="38" customFormat="1" ht="21" customHeight="1">
      <c r="B48" s="101" t="s">
        <v>5</v>
      </c>
      <c r="C48" s="102">
        <f ca="1">'FACT. + ASIG.'!$C$38</f>
        <v>679531.23558857152</v>
      </c>
    </row>
    <row r="49" spans="2:5" s="38" customFormat="1" ht="21.75" customHeight="1">
      <c r="B49" s="103" t="s">
        <v>102</v>
      </c>
      <c r="C49" s="104">
        <v>0.1</v>
      </c>
    </row>
    <row r="50" spans="2:5" s="38" customFormat="1" ht="21.75" customHeight="1" thickBot="1">
      <c r="B50" s="105" t="s">
        <v>7</v>
      </c>
      <c r="C50" s="106">
        <f>'DATOS GEN.'!$E$11</f>
        <v>1</v>
      </c>
    </row>
    <row r="51" spans="2:5" s="38" customFormat="1" ht="25.2" customHeight="1" thickBot="1">
      <c r="B51" s="123" t="s">
        <v>48</v>
      </c>
      <c r="C51" s="115">
        <f ca="1">$C$48*$C$49*$C$50</f>
        <v>67953.123558857158</v>
      </c>
    </row>
    <row r="52" spans="2:5" s="38" customFormat="1" ht="23.7" customHeight="1" thickBot="1">
      <c r="B52" s="857" t="s">
        <v>130</v>
      </c>
      <c r="C52" s="857"/>
      <c r="D52" s="40"/>
      <c r="E52" s="41"/>
    </row>
    <row r="53" spans="2:5" s="38" customFormat="1" ht="27" customHeight="1" thickBot="1">
      <c r="B53" s="872" t="s">
        <v>105</v>
      </c>
      <c r="C53" s="873"/>
    </row>
    <row r="54" spans="2:5" s="38" customFormat="1" ht="21.75" customHeight="1">
      <c r="B54" s="97" t="s">
        <v>5</v>
      </c>
      <c r="C54" s="88">
        <f ca="1">'FACT. + ASIG.'!$C$38</f>
        <v>679531.23558857152</v>
      </c>
    </row>
    <row r="55" spans="2:5" s="38" customFormat="1" ht="21.75" customHeight="1">
      <c r="B55" s="107" t="s">
        <v>101</v>
      </c>
      <c r="C55" s="108">
        <v>0.1</v>
      </c>
    </row>
    <row r="56" spans="2:5" s="38" customFormat="1" ht="21.75" customHeight="1" thickBot="1">
      <c r="B56" s="86" t="s">
        <v>49</v>
      </c>
      <c r="C56" s="109">
        <f>'DATOS GEN.'!$E$12</f>
        <v>0</v>
      </c>
    </row>
    <row r="57" spans="2:5" s="38" customFormat="1" ht="25.2" customHeight="1" thickBot="1">
      <c r="B57" s="110" t="s">
        <v>8</v>
      </c>
      <c r="C57" s="111">
        <f>IF(OR('DATOS GEN.'!$E$10="SI",'DATOS GEN.'!$E$11&gt;0),0,$C$54*$C$55*$C$56)</f>
        <v>0</v>
      </c>
    </row>
    <row r="58" spans="2:5" s="38" customFormat="1" ht="23.7" customHeight="1" thickBot="1">
      <c r="B58" s="857" t="s">
        <v>130</v>
      </c>
      <c r="C58" s="857"/>
      <c r="D58" s="40"/>
      <c r="E58" s="41"/>
    </row>
    <row r="59" spans="2:5" s="38" customFormat="1" ht="26.55" customHeight="1" thickBot="1">
      <c r="B59" s="864" t="s">
        <v>106</v>
      </c>
      <c r="C59" s="865"/>
    </row>
    <row r="60" spans="2:5" s="38" customFormat="1" ht="21.75" customHeight="1">
      <c r="B60" s="97" t="s">
        <v>5</v>
      </c>
      <c r="C60" s="88">
        <f ca="1">'FACT. + ASIG.'!$C$38</f>
        <v>679531.23558857152</v>
      </c>
    </row>
    <row r="61" spans="2:5" s="38" customFormat="1" ht="31.2" customHeight="1" thickBot="1">
      <c r="B61" s="112" t="s">
        <v>112</v>
      </c>
      <c r="C61" s="113">
        <f>+IF(AND('DATOS GEN.'!$E$10="NO",'DATOS GEN.'!$E$11=0,'DATOS GEN.'!$E$12=0),0.15,IF(AND('DATOS GEN.'!E12=1,'DATOS GEN.'!$E$10="NO",'DATOS GEN.'!$E$11=0),0.1,0))</f>
        <v>0</v>
      </c>
    </row>
    <row r="62" spans="2:5" s="38" customFormat="1" ht="25.2" customHeight="1" thickBot="1">
      <c r="B62" s="114" t="s">
        <v>15</v>
      </c>
      <c r="C62" s="115">
        <f ca="1">+C60*C61</f>
        <v>0</v>
      </c>
    </row>
    <row r="63" spans="2:5" s="38" customFormat="1" ht="34.950000000000003" customHeight="1">
      <c r="B63" s="857" t="s">
        <v>127</v>
      </c>
      <c r="C63" s="857"/>
      <c r="D63" s="40"/>
      <c r="E63" s="41"/>
    </row>
    <row r="64" spans="2:5" s="38" customFormat="1" ht="9" customHeight="1" thickBot="1">
      <c r="B64" s="42"/>
      <c r="C64" s="42"/>
      <c r="D64" s="42"/>
      <c r="E64" s="43"/>
    </row>
    <row r="65" spans="1:5" s="38" customFormat="1" ht="27.45" customHeight="1" thickTop="1">
      <c r="B65" s="860" t="s">
        <v>57</v>
      </c>
      <c r="C65" s="861"/>
    </row>
    <row r="66" spans="1:5" s="38" customFormat="1" ht="27.45" customHeight="1" thickBot="1">
      <c r="B66" s="858">
        <f ca="1">C$38+C$44+C$51+C$57+C$62</f>
        <v>849414.0444857144</v>
      </c>
      <c r="C66" s="859"/>
    </row>
    <row r="67" spans="1:5" s="38" customFormat="1" ht="24" customHeight="1" thickTop="1">
      <c r="B67" s="862" t="s">
        <v>51</v>
      </c>
      <c r="C67" s="862"/>
      <c r="D67" s="44"/>
      <c r="E67" s="45"/>
    </row>
    <row r="68" spans="1:5" s="39" customFormat="1" ht="24.45" customHeight="1" thickBot="1">
      <c r="B68" s="863" t="s">
        <v>52</v>
      </c>
      <c r="C68" s="863"/>
    </row>
    <row r="69" spans="1:5" s="38" customFormat="1" ht="27" customHeight="1" thickBot="1">
      <c r="B69" s="864" t="s">
        <v>107</v>
      </c>
      <c r="C69" s="865"/>
    </row>
    <row r="70" spans="1:5" s="38" customFormat="1" ht="21.75" customHeight="1">
      <c r="B70" s="97" t="s">
        <v>56</v>
      </c>
      <c r="C70" s="88">
        <f ca="1">+B66</f>
        <v>849414.0444857144</v>
      </c>
    </row>
    <row r="71" spans="1:5" s="38" customFormat="1" ht="21" customHeight="1" thickBot="1">
      <c r="B71" s="116" t="s">
        <v>53</v>
      </c>
      <c r="C71" s="117">
        <v>0.11</v>
      </c>
    </row>
    <row r="72" spans="1:5" s="38" customFormat="1" ht="30" customHeight="1" thickBot="1">
      <c r="B72" s="114" t="s">
        <v>55</v>
      </c>
      <c r="C72" s="115">
        <f ca="1">+C70*C71</f>
        <v>93435.544893428581</v>
      </c>
    </row>
    <row r="73" spans="1:5" s="38" customFormat="1" ht="22.5" customHeight="1">
      <c r="B73" s="857" t="s">
        <v>58</v>
      </c>
      <c r="C73" s="857"/>
      <c r="D73" s="44"/>
      <c r="E73" s="45"/>
    </row>
    <row r="74" spans="1:5" s="38" customFormat="1" ht="12" customHeight="1" thickBot="1">
      <c r="B74" s="11"/>
      <c r="C74" s="44"/>
      <c r="D74" s="44"/>
      <c r="E74" s="45"/>
    </row>
    <row r="75" spans="1:5" s="46" customFormat="1" ht="52.5" customHeight="1" thickBot="1">
      <c r="A75" s="38"/>
      <c r="B75" s="118" t="s">
        <v>59</v>
      </c>
      <c r="C75" s="124">
        <f ca="1">+B66+C72</f>
        <v>942849.58937914297</v>
      </c>
    </row>
    <row r="76" spans="1:5" ht="12" customHeight="1" thickBot="1">
      <c r="B76" s="11"/>
      <c r="C76" s="44"/>
    </row>
    <row r="77" spans="1:5" ht="52.5" customHeight="1" thickBot="1">
      <c r="B77" s="118" t="s">
        <v>110</v>
      </c>
      <c r="C77" s="125">
        <f ca="1">+C75/12</f>
        <v>78570.799114928581</v>
      </c>
    </row>
    <row r="78" spans="1:5" ht="18" customHeight="1">
      <c r="B78" s="855" t="s">
        <v>18</v>
      </c>
      <c r="C78" s="856"/>
    </row>
    <row r="80" spans="1:5">
      <c r="B80" s="47"/>
    </row>
    <row r="81" spans="2:2">
      <c r="B81" s="47"/>
    </row>
  </sheetData>
  <sheetProtection algorithmName="SHA-512" hashValue="IUh5tSRuTEy5kQhvPU7phE2XAV+aDRiOF2T+GJSSfgzM0q9ohaS6/2opa5wqKCCEgE5G7rNu7laEga+Ir6jGxg==" saltValue="Y8tfFtHL7Q6kXmMLt6KT9A==" spinCount="100000" sheet="1" objects="1" scenarios="1"/>
  <protectedRanges>
    <protectedRange sqref="C13:C14" name="Rango1"/>
  </protectedRanges>
  <mergeCells count="32">
    <mergeCell ref="B58:C58"/>
    <mergeCell ref="B59:C59"/>
    <mergeCell ref="B46:C46"/>
    <mergeCell ref="B53:C53"/>
    <mergeCell ref="B40:C40"/>
    <mergeCell ref="B41:C41"/>
    <mergeCell ref="B52:C52"/>
    <mergeCell ref="B47:C47"/>
    <mergeCell ref="B45:C45"/>
    <mergeCell ref="B1:C1"/>
    <mergeCell ref="B35:C35"/>
    <mergeCell ref="B39:C39"/>
    <mergeCell ref="B37:C37"/>
    <mergeCell ref="B36:C36"/>
    <mergeCell ref="B24:C24"/>
    <mergeCell ref="B25:C25"/>
    <mergeCell ref="B26:C26"/>
    <mergeCell ref="B27:C27"/>
    <mergeCell ref="B19:C19"/>
    <mergeCell ref="B3:C3"/>
    <mergeCell ref="B4:C4"/>
    <mergeCell ref="B8:C9"/>
    <mergeCell ref="B11:C11"/>
    <mergeCell ref="B10:C10"/>
    <mergeCell ref="B78:C78"/>
    <mergeCell ref="B73:C73"/>
    <mergeCell ref="B63:C63"/>
    <mergeCell ref="B66:C66"/>
    <mergeCell ref="B65:C65"/>
    <mergeCell ref="B67:C67"/>
    <mergeCell ref="B68:C68"/>
    <mergeCell ref="B69:C69"/>
  </mergeCells>
  <pageMargins left="0.7" right="0.7" top="0.75" bottom="0.75" header="0.3" footer="0.3"/>
  <pageSetup paperSize="9" orientation="landscape" r:id="rId1"/>
  <ignoredErrors>
    <ignoredError sqref="C13:C14"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7F07BEF-0C4B-4C81-B434-2E43D67C49E1}">
          <x14:formula1>
            <xm:f>'1'!$N$5:$N$26</xm:f>
          </x14:formula1>
          <xm:sqref>C5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192BF-F408-49F0-9726-87C7D1573A5C}">
  <sheetPr codeName="Hoja9">
    <tabColor rgb="FF025C67"/>
    <pageSetUpPr fitToPage="1"/>
  </sheetPr>
  <dimension ref="A1:I32"/>
  <sheetViews>
    <sheetView showGridLines="0" topLeftCell="A14" zoomScale="131" zoomScaleNormal="131" zoomScaleSheetLayoutView="62" zoomScalePageLayoutView="130" workbookViewId="0">
      <selection activeCell="C22" sqref="C22:E22"/>
    </sheetView>
  </sheetViews>
  <sheetFormatPr baseColWidth="10" defaultColWidth="11.5546875" defaultRowHeight="14.4" outlineLevelRow="1"/>
  <cols>
    <col min="1" max="1" width="22" style="505" customWidth="1"/>
    <col min="2" max="2" width="15.44140625" style="38" customWidth="1"/>
    <col min="3" max="3" width="19.33203125" style="38" customWidth="1"/>
    <col min="4" max="4" width="22" style="505" customWidth="1"/>
    <col min="5" max="5" width="15.33203125" style="38" customWidth="1"/>
    <col min="6" max="6" width="8.5546875" style="38" customWidth="1"/>
    <col min="7" max="16384" width="11.5546875" style="38"/>
  </cols>
  <sheetData>
    <row r="1" spans="1:9" ht="24.9" customHeight="1">
      <c r="A1" s="875" t="s">
        <v>393</v>
      </c>
      <c r="B1" s="875"/>
      <c r="C1" s="875"/>
      <c r="D1" s="875"/>
      <c r="E1" s="875"/>
    </row>
    <row r="2" spans="1:9" ht="6" customHeight="1">
      <c r="A2" s="51"/>
      <c r="B2" s="51"/>
      <c r="C2" s="51"/>
      <c r="D2" s="51"/>
      <c r="E2" s="51"/>
    </row>
    <row r="3" spans="1:9" ht="20.399999999999999" customHeight="1">
      <c r="A3" s="506" t="s">
        <v>394</v>
      </c>
      <c r="B3" s="506" t="str">
        <f>+'DATOS GEN.'!E3</f>
        <v>ESCOBAR LOPEZ LUIS ADAN</v>
      </c>
      <c r="C3" s="506"/>
      <c r="D3" s="747" t="s">
        <v>467</v>
      </c>
      <c r="E3" s="748">
        <f>+'DATOS GEN.'!E12</f>
        <v>0</v>
      </c>
    </row>
    <row r="4" spans="1:9" ht="20.399999999999999" customHeight="1">
      <c r="A4" s="506" t="s">
        <v>466</v>
      </c>
      <c r="B4" s="746">
        <f>+'DATOS GEN.'!E18</f>
        <v>61</v>
      </c>
      <c r="C4" s="506"/>
      <c r="D4" s="506" t="s">
        <v>400</v>
      </c>
      <c r="E4" s="508">
        <f ca="1">+'DATOS GEN.'!E14</f>
        <v>57.509913141993955</v>
      </c>
    </row>
    <row r="5" spans="1:9" ht="20.399999999999999" customHeight="1">
      <c r="A5" s="506" t="s">
        <v>397</v>
      </c>
      <c r="B5" s="509" t="str">
        <f>+'DATOS GEN.'!E10</f>
        <v>SI</v>
      </c>
      <c r="C5" s="506"/>
      <c r="D5" s="506" t="s">
        <v>387</v>
      </c>
      <c r="E5" s="509">
        <f>+'DATOS GEN.'!E22</f>
        <v>1960</v>
      </c>
    </row>
    <row r="6" spans="1:9" ht="20.399999999999999" customHeight="1">
      <c r="A6" s="506" t="s">
        <v>395</v>
      </c>
      <c r="B6" s="509">
        <f>+'DATOS GEN.'!E11</f>
        <v>1</v>
      </c>
      <c r="C6" s="506"/>
      <c r="D6" s="506" t="s">
        <v>398</v>
      </c>
      <c r="E6" s="745">
        <f>+'DATOS GEN.'!E20</f>
        <v>2281.5311428571431</v>
      </c>
    </row>
    <row r="7" spans="1:9" ht="20.399999999999999" customHeight="1">
      <c r="A7" s="506" t="s">
        <v>396</v>
      </c>
      <c r="B7" s="506" t="str">
        <f ca="1">IF('FACT. + ASIG.'!C62&gt;0,"SI","NO")</f>
        <v>NO</v>
      </c>
      <c r="C7" s="506"/>
      <c r="D7" s="506" t="s">
        <v>399</v>
      </c>
      <c r="E7" s="508">
        <f ca="1">+B4-E4</f>
        <v>3.4900868580060447</v>
      </c>
      <c r="I7" s="526"/>
    </row>
    <row r="8" spans="1:9" ht="9" customHeight="1">
      <c r="A8" s="506"/>
      <c r="B8" s="506"/>
      <c r="C8" s="506"/>
      <c r="D8" s="506"/>
      <c r="E8" s="510"/>
    </row>
    <row r="9" spans="1:9" ht="30" customHeight="1">
      <c r="A9" s="875" t="s">
        <v>407</v>
      </c>
      <c r="B9" s="875"/>
      <c r="C9" s="875"/>
      <c r="D9" s="875"/>
      <c r="E9" s="875"/>
      <c r="F9" s="12"/>
    </row>
    <row r="10" spans="1:9" ht="6" customHeight="1">
      <c r="A10" s="51"/>
      <c r="B10" s="51"/>
      <c r="C10" s="51"/>
      <c r="D10" s="51"/>
      <c r="E10" s="51"/>
    </row>
    <row r="11" spans="1:9" ht="20.399999999999999" customHeight="1">
      <c r="A11" s="506" t="s">
        <v>402</v>
      </c>
      <c r="B11" s="510">
        <f ca="1">+'FACT. + ASIG.'!C23*1.11</f>
        <v>120167.10452871432</v>
      </c>
      <c r="C11" s="506"/>
      <c r="D11" s="506" t="s">
        <v>405</v>
      </c>
      <c r="E11" s="510">
        <f ca="1">+B11+B12</f>
        <v>754279.67150331452</v>
      </c>
    </row>
    <row r="12" spans="1:9" ht="20.399999999999999" customHeight="1">
      <c r="A12" s="506" t="s">
        <v>403</v>
      </c>
      <c r="B12" s="510">
        <f ca="1">+'FACT. + ASIG.'!C34*1.11</f>
        <v>634112.56697460019</v>
      </c>
      <c r="C12" s="506"/>
      <c r="D12" s="506" t="s">
        <v>406</v>
      </c>
      <c r="E12" s="511">
        <f>IF(B4&gt;=65,1,VLOOKUP(B4,'DATOS GEN.'!D27:E32,2,FALSE))</f>
        <v>0.8</v>
      </c>
    </row>
    <row r="13" spans="1:9" ht="20.399999999999999" customHeight="1">
      <c r="A13" s="506" t="s">
        <v>404</v>
      </c>
      <c r="B13" s="510">
        <f ca="1">+('FACT. + ASIG.'!C44+'FACT. + ASIG.'!C51+'FACT. + ASIG.'!C57)*1.11*E12</f>
        <v>150855.93430066289</v>
      </c>
      <c r="C13" s="506"/>
      <c r="D13" s="514" t="s">
        <v>409</v>
      </c>
      <c r="E13" s="513">
        <f ca="1">+E11*E12 + B14 + B13</f>
        <v>754279.67150331452</v>
      </c>
    </row>
    <row r="14" spans="1:9" ht="20.399999999999999" customHeight="1">
      <c r="A14" s="506" t="s">
        <v>396</v>
      </c>
      <c r="B14" s="510">
        <f ca="1">MIN(
'FACT. + ASIG.'!C62*1.11*E12,
MAX(0,'FACT. + ASIG.'!C6*25*365-(E11*E12+B13)),
+'DATOS GEN.'!E20*365*1.11-(E11*E12+B13))</f>
        <v>0</v>
      </c>
      <c r="C14" s="506"/>
      <c r="D14" s="506" t="s">
        <v>401</v>
      </c>
      <c r="E14" s="510" t="str">
        <f ca="1">IF(E13&gt;B15,"NO", "SI")</f>
        <v>NO</v>
      </c>
    </row>
    <row r="15" spans="1:9" ht="20.399999999999999" customHeight="1">
      <c r="A15" s="506" t="s">
        <v>408</v>
      </c>
      <c r="B15" s="519">
        <f ca="1">'FACT. + ASIG.'!C14*365*111%</f>
        <v>150732.36175521399</v>
      </c>
      <c r="C15" s="515"/>
    </row>
    <row r="16" spans="1:9" ht="5.7" customHeight="1">
      <c r="A16" s="506"/>
      <c r="B16" s="510"/>
      <c r="C16" s="507"/>
      <c r="D16" s="506"/>
      <c r="E16" s="512"/>
    </row>
    <row r="17" spans="1:5" s="139" customFormat="1" ht="22.95" customHeight="1">
      <c r="A17" s="876" t="s">
        <v>125</v>
      </c>
      <c r="B17" s="876"/>
      <c r="C17" s="876"/>
      <c r="D17" s="876"/>
      <c r="E17" s="876"/>
    </row>
    <row r="18" spans="1:5" s="46" customFormat="1" ht="9" customHeight="1">
      <c r="A18" s="55"/>
      <c r="B18" s="55"/>
      <c r="C18" s="55"/>
      <c r="D18" s="55"/>
      <c r="E18" s="56"/>
    </row>
    <row r="19" spans="1:5" s="46" customFormat="1" ht="33" customHeight="1">
      <c r="A19" s="826" t="s">
        <v>412</v>
      </c>
      <c r="B19" s="826"/>
      <c r="C19" s="877">
        <f ca="1">IF(E14="SI",B15, E13)</f>
        <v>754279.67150331452</v>
      </c>
      <c r="D19" s="877"/>
      <c r="E19" s="877"/>
    </row>
    <row r="20" spans="1:5" s="46" customFormat="1" ht="16.2" customHeight="1">
      <c r="A20" s="874" t="s">
        <v>410</v>
      </c>
      <c r="B20" s="874"/>
      <c r="C20" s="874"/>
      <c r="D20" s="874"/>
      <c r="E20" s="874"/>
    </row>
    <row r="21" spans="1:5" s="46" customFormat="1" ht="13.95" customHeight="1">
      <c r="A21" s="517"/>
      <c r="B21" s="517"/>
      <c r="C21" s="517"/>
      <c r="D21" s="517"/>
      <c r="E21" s="517"/>
    </row>
    <row r="22" spans="1:5" s="46" customFormat="1" ht="33" customHeight="1">
      <c r="A22" s="826" t="s">
        <v>413</v>
      </c>
      <c r="B22" s="826"/>
      <c r="C22" s="877">
        <f ca="1">+C19/12</f>
        <v>62856.639291942876</v>
      </c>
      <c r="D22" s="877"/>
      <c r="E22" s="877"/>
    </row>
    <row r="23" spans="1:5" s="46" customFormat="1" ht="16.2" customHeight="1">
      <c r="A23" s="874" t="s">
        <v>411</v>
      </c>
      <c r="B23" s="874"/>
      <c r="C23" s="874"/>
      <c r="D23" s="874"/>
      <c r="E23" s="874"/>
    </row>
    <row r="24" spans="1:5" s="46" customFormat="1" ht="13.95" customHeight="1">
      <c r="A24" s="518"/>
      <c r="B24" s="518"/>
      <c r="C24" s="518"/>
      <c r="D24" s="518"/>
      <c r="E24" s="518"/>
    </row>
    <row r="25" spans="1:5" s="46" customFormat="1" ht="33" customHeight="1">
      <c r="A25" s="826" t="s">
        <v>414</v>
      </c>
      <c r="B25" s="826"/>
      <c r="C25" s="877">
        <f ca="1">MIN(
  IF(((B11+B12)*'PENSIÓN ACTUAL'!E12)/12&gt;B15/12, ((B11+B12)*'PENSIÓN ACTUAL'!E12)/12, B15/12),
  'FACT. + ASIG.'!C6*25*365/12
)</f>
        <v>50285.311433554307</v>
      </c>
      <c r="D25" s="877"/>
      <c r="E25" s="877"/>
    </row>
    <row r="26" spans="1:5" s="46" customFormat="1" ht="26.7" customHeight="1">
      <c r="A26" s="874" t="s">
        <v>415</v>
      </c>
      <c r="B26" s="874"/>
      <c r="C26" s="874"/>
      <c r="D26" s="874"/>
      <c r="E26" s="874"/>
    </row>
    <row r="27" spans="1:5" s="46" customFormat="1" ht="18.45" customHeight="1">
      <c r="A27" s="518"/>
      <c r="B27" s="518"/>
      <c r="C27" s="518"/>
      <c r="D27" s="518"/>
      <c r="E27" s="518"/>
    </row>
    <row r="28" spans="1:5" s="46" customFormat="1" ht="23.4" outlineLevel="1">
      <c r="A28" s="878" t="s">
        <v>429</v>
      </c>
      <c r="B28" s="878"/>
      <c r="C28" s="878"/>
      <c r="D28" s="878"/>
      <c r="E28" s="878"/>
    </row>
    <row r="29" spans="1:5" s="46" customFormat="1" ht="7.5" customHeight="1" outlineLevel="1">
      <c r="A29" s="516"/>
      <c r="B29" s="516"/>
      <c r="C29" s="516"/>
      <c r="D29" s="516"/>
      <c r="E29" s="516"/>
    </row>
    <row r="30" spans="1:5" s="46" customFormat="1" ht="36.75" customHeight="1" outlineLevel="1">
      <c r="A30" s="826" t="s">
        <v>419</v>
      </c>
      <c r="B30" s="826"/>
      <c r="C30" s="877" t="str">
        <f ca="1">IF(
   AND('DATOS GEN.'!E4&lt;TODAY(), MONTH('DATOS GEN.'!E4)=1),
   C22*1.0421,
   IF(
      MONTH('DATOS GEN.'!E16)=1,
      C22*1.0421,
      "NO APLICA"
   )
)</f>
        <v>NO APLICA</v>
      </c>
      <c r="D30" s="877"/>
      <c r="E30" s="877"/>
    </row>
    <row r="31" spans="1:5" s="46" customFormat="1" ht="37.950000000000003" customHeight="1" outlineLevel="1">
      <c r="A31" s="874" t="s">
        <v>418</v>
      </c>
      <c r="B31" s="874"/>
      <c r="C31" s="874"/>
      <c r="D31" s="874"/>
      <c r="E31" s="874"/>
    </row>
    <row r="32" spans="1:5" outlineLevel="1"/>
  </sheetData>
  <sheetProtection algorithmName="SHA-512" hashValue="DqkcIgjWIKEiqwhW60fmqoQcnvPV709mUEplTMgP1mNarRTmGXtEfLXnWIhM1VzW9cmn2RWa0h5IGEseY2AjfQ==" saltValue="rx4XUBc0EFLQ6i9VdmkSCA==" spinCount="100000" sheet="1" objects="1" scenarios="1"/>
  <mergeCells count="16">
    <mergeCell ref="A31:E31"/>
    <mergeCell ref="A30:B30"/>
    <mergeCell ref="C30:E30"/>
    <mergeCell ref="A26:E26"/>
    <mergeCell ref="A28:E28"/>
    <mergeCell ref="A22:B22"/>
    <mergeCell ref="C22:E22"/>
    <mergeCell ref="A23:E23"/>
    <mergeCell ref="A25:B25"/>
    <mergeCell ref="C25:E25"/>
    <mergeCell ref="A20:E20"/>
    <mergeCell ref="A1:E1"/>
    <mergeCell ref="A17:E17"/>
    <mergeCell ref="A9:E9"/>
    <mergeCell ref="A19:B19"/>
    <mergeCell ref="C19:E19"/>
  </mergeCells>
  <pageMargins left="0.70866141732283472" right="0.70866141732283472" top="0.74803149606299213" bottom="0.74803149606299213" header="0.31496062992125984" footer="0.31496062992125984"/>
  <pageSetup paperSize="194" scale="65"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12BFB-4892-46D3-B1F4-50CF2047B835}">
  <sheetPr codeName="Sheet1">
    <tabColor rgb="FFF3BD48"/>
  </sheetPr>
  <dimension ref="B1:M94"/>
  <sheetViews>
    <sheetView showGridLines="0" showWhiteSpace="0" topLeftCell="A8" zoomScale="175" zoomScaleNormal="175" workbookViewId="0">
      <selection activeCell="E5" sqref="E5"/>
    </sheetView>
  </sheetViews>
  <sheetFormatPr baseColWidth="10" defaultColWidth="11" defaultRowHeight="12"/>
  <cols>
    <col min="1" max="1" width="0.88671875" style="14" customWidth="1"/>
    <col min="2" max="2" width="16.33203125" style="17" customWidth="1"/>
    <col min="3" max="3" width="16.33203125" style="18" customWidth="1"/>
    <col min="4" max="4" width="16.33203125" style="14" customWidth="1"/>
    <col min="5" max="5" width="12.109375" style="14" customWidth="1"/>
    <col min="6" max="6" width="12.109375" style="19" customWidth="1"/>
    <col min="7" max="7" width="3.109375" style="14" customWidth="1"/>
    <col min="8" max="9" width="11" style="14"/>
    <col min="10" max="10" width="10.5546875" style="14" customWidth="1"/>
    <col min="11" max="11" width="30.5546875" style="14" hidden="1" customWidth="1"/>
    <col min="12" max="12" width="45.5546875" style="14" hidden="1" customWidth="1"/>
    <col min="13" max="13" width="14.33203125" style="14" customWidth="1"/>
    <col min="14" max="16384" width="11" style="14"/>
  </cols>
  <sheetData>
    <row r="1" spans="2:12" ht="29.7" customHeight="1">
      <c r="B1" s="891" t="s">
        <v>26</v>
      </c>
      <c r="C1" s="892"/>
      <c r="D1" s="892"/>
      <c r="E1" s="892"/>
      <c r="F1" s="892"/>
      <c r="K1" s="888" t="s">
        <v>133</v>
      </c>
      <c r="L1" s="888"/>
    </row>
    <row r="2" spans="2:12" ht="8.5500000000000007" customHeight="1" thickBot="1">
      <c r="B2" s="15"/>
      <c r="C2" s="15"/>
      <c r="D2" s="15"/>
      <c r="E2" s="15"/>
      <c r="F2" s="15"/>
      <c r="K2" s="888"/>
      <c r="L2" s="888"/>
    </row>
    <row r="3" spans="2:12" ht="16.95" customHeight="1" thickBot="1">
      <c r="B3" s="879" t="s">
        <v>372</v>
      </c>
      <c r="C3" s="880"/>
      <c r="D3" s="880"/>
      <c r="E3" s="880"/>
      <c r="F3" s="880"/>
      <c r="K3" s="889" t="s">
        <v>98</v>
      </c>
      <c r="L3" s="890"/>
    </row>
    <row r="4" spans="2:12" ht="11.7" customHeight="1">
      <c r="B4" s="881" t="s">
        <v>256</v>
      </c>
      <c r="C4" s="882"/>
      <c r="D4" s="882"/>
      <c r="E4" s="324" t="s">
        <v>249</v>
      </c>
      <c r="F4" s="319" t="s">
        <v>250</v>
      </c>
      <c r="K4" s="312"/>
      <c r="L4" s="313"/>
    </row>
    <row r="5" spans="2:12" ht="19.5" customHeight="1" thickBot="1">
      <c r="B5" s="883"/>
      <c r="C5" s="884"/>
      <c r="D5" s="884"/>
      <c r="E5" s="328">
        <v>60</v>
      </c>
      <c r="F5" s="329">
        <v>0</v>
      </c>
      <c r="H5" s="13"/>
      <c r="I5" s="288"/>
      <c r="J5" s="13"/>
      <c r="K5" s="291" t="s">
        <v>120</v>
      </c>
      <c r="L5" s="292">
        <f ca="1">VLOOKUP(L8,'1'!N5:O29,2,FALSE)</f>
        <v>133.87019812374999</v>
      </c>
    </row>
    <row r="6" spans="2:12" ht="1.95" customHeight="1" thickBot="1">
      <c r="B6" s="325"/>
      <c r="C6" s="326"/>
      <c r="D6" s="327"/>
      <c r="H6" s="83"/>
      <c r="I6" s="13"/>
      <c r="J6" s="13"/>
      <c r="K6" s="321"/>
      <c r="L6" s="322"/>
    </row>
    <row r="7" spans="2:12" ht="11.7" customHeight="1" thickBot="1">
      <c r="B7" s="881" t="s">
        <v>254</v>
      </c>
      <c r="C7" s="882"/>
      <c r="D7" s="882"/>
      <c r="E7" s="324" t="s">
        <v>249</v>
      </c>
      <c r="F7" s="319" t="s">
        <v>250</v>
      </c>
      <c r="H7" s="83"/>
      <c r="I7" s="20"/>
      <c r="J7" s="282"/>
      <c r="K7" s="293" t="s">
        <v>94</v>
      </c>
      <c r="L7" s="294">
        <f ca="1">+'FACT. + ASIG. MOD.40'!G6</f>
        <v>393.24720813343492</v>
      </c>
    </row>
    <row r="8" spans="2:12" ht="19.5" customHeight="1" thickBot="1">
      <c r="B8" s="883"/>
      <c r="C8" s="884"/>
      <c r="D8" s="884"/>
      <c r="E8" s="330">
        <v>1</v>
      </c>
      <c r="F8" s="335">
        <v>0</v>
      </c>
      <c r="H8" s="83"/>
      <c r="I8" s="20"/>
      <c r="J8" s="282"/>
      <c r="K8" s="289" t="s">
        <v>169</v>
      </c>
      <c r="L8" s="290">
        <f ca="1">IF(MONTH(B22)=1,YEAR(B22)-1,IF(MONTH(B22)&gt;=2,YEAR(B22)))</f>
        <v>2029</v>
      </c>
    </row>
    <row r="9" spans="2:12" ht="1.95" customHeight="1" thickBot="1">
      <c r="B9" s="325"/>
      <c r="C9" s="326"/>
      <c r="D9" s="327"/>
      <c r="H9" s="84"/>
      <c r="I9" s="20"/>
      <c r="J9" s="282"/>
      <c r="K9" s="321"/>
      <c r="L9" s="322"/>
    </row>
    <row r="10" spans="2:12" ht="21.75" customHeight="1" thickBot="1">
      <c r="B10" s="897" t="s">
        <v>119</v>
      </c>
      <c r="C10" s="898"/>
      <c r="D10" s="899"/>
      <c r="E10" s="893">
        <v>25</v>
      </c>
      <c r="F10" s="894"/>
      <c r="H10" s="83"/>
      <c r="I10" s="20"/>
      <c r="J10" s="282"/>
    </row>
    <row r="11" spans="2:12" ht="8.5500000000000007" customHeight="1" thickBot="1">
      <c r="B11" s="331"/>
      <c r="C11" s="331"/>
      <c r="D11" s="331"/>
      <c r="E11" s="332"/>
      <c r="F11" s="332"/>
      <c r="H11" s="83"/>
      <c r="I11" s="20"/>
      <c r="J11" s="282"/>
      <c r="K11" s="323"/>
      <c r="L11" s="333"/>
    </row>
    <row r="12" spans="2:12" ht="16.95" customHeight="1" thickBot="1">
      <c r="B12" s="885"/>
      <c r="C12" s="886"/>
      <c r="D12" s="886"/>
      <c r="E12" s="886"/>
      <c r="F12" s="887"/>
    </row>
    <row r="13" spans="2:12" ht="20.55" customHeight="1">
      <c r="B13" s="907" t="s">
        <v>258</v>
      </c>
      <c r="C13" s="908"/>
      <c r="D13" s="908"/>
      <c r="E13" s="914">
        <v>46784</v>
      </c>
      <c r="F13" s="915"/>
      <c r="K13" s="295"/>
      <c r="L13" s="295"/>
    </row>
    <row r="14" spans="2:12" ht="20.55" customHeight="1">
      <c r="B14" s="912" t="s">
        <v>307</v>
      </c>
      <c r="C14" s="913"/>
      <c r="D14" s="913"/>
      <c r="E14" s="926">
        <v>47329</v>
      </c>
      <c r="F14" s="927"/>
      <c r="K14" s="295"/>
      <c r="L14" s="295"/>
    </row>
    <row r="15" spans="2:12" ht="18.45" customHeight="1">
      <c r="B15" s="909" t="s">
        <v>298</v>
      </c>
      <c r="C15" s="910"/>
      <c r="D15" s="911"/>
      <c r="E15" s="924">
        <v>61</v>
      </c>
      <c r="F15" s="925"/>
      <c r="I15" s="480"/>
      <c r="J15" s="16"/>
      <c r="K15" s="295"/>
      <c r="L15" s="295"/>
    </row>
    <row r="16" spans="2:12" ht="15" customHeight="1">
      <c r="B16" s="905" t="s">
        <v>118</v>
      </c>
      <c r="C16" s="906"/>
      <c r="D16" s="906"/>
      <c r="E16" s="916">
        <f ca="1">L5</f>
        <v>133.87019812374999</v>
      </c>
      <c r="F16" s="917"/>
    </row>
    <row r="17" spans="2:13" ht="15" customHeight="1">
      <c r="B17" s="895" t="s">
        <v>226</v>
      </c>
      <c r="C17" s="896"/>
      <c r="D17" s="896"/>
      <c r="E17" s="918">
        <f ca="1">+$E$10*$E$16</f>
        <v>3346.7549530937495</v>
      </c>
      <c r="F17" s="919"/>
    </row>
    <row r="18" spans="2:13" ht="15" customHeight="1" thickBot="1">
      <c r="B18" s="903" t="s">
        <v>122</v>
      </c>
      <c r="C18" s="904"/>
      <c r="D18" s="904"/>
      <c r="E18" s="920">
        <f>+'CAL. PROM. 250 SEM'!D6</f>
        <v>2281.5311428571431</v>
      </c>
      <c r="F18" s="921"/>
    </row>
    <row r="19" spans="2:13" ht="28.5" customHeight="1" thickBot="1">
      <c r="B19" s="900" t="s">
        <v>121</v>
      </c>
      <c r="C19" s="901"/>
      <c r="D19" s="902"/>
      <c r="E19" s="922">
        <f ca="1">IF(E22&gt;250, F22/E22, (SUM(F22:F75))/250)</f>
        <v>2582.2906045024106</v>
      </c>
      <c r="F19" s="923"/>
      <c r="K19" s="13"/>
      <c r="L19" s="288"/>
      <c r="M19" s="13"/>
    </row>
    <row r="20" spans="2:13" ht="6.45" customHeight="1" thickBot="1">
      <c r="K20" s="83"/>
      <c r="L20" s="13"/>
      <c r="M20" s="13"/>
    </row>
    <row r="21" spans="2:13" ht="24.45" customHeight="1" thickBot="1">
      <c r="B21" s="166" t="s">
        <v>114</v>
      </c>
      <c r="C21" s="167" t="s">
        <v>115</v>
      </c>
      <c r="D21" s="168" t="s">
        <v>253</v>
      </c>
      <c r="E21" s="172" t="s">
        <v>116</v>
      </c>
      <c r="F21" s="173" t="s">
        <v>117</v>
      </c>
      <c r="K21" s="83"/>
      <c r="L21" s="20"/>
      <c r="M21" s="282"/>
    </row>
    <row r="22" spans="2:13" ht="12.45" customHeight="1">
      <c r="B22" s="429">
        <f ca="1">IF(
AND(E5='DATOS GEN.'!E14,F5=0),
+'DATOS GEN.'!E4+1,IF(DAY(EDATE('DATOS GEN.'!E5,'SAL. PROM MOD 40'!E5*12+F5))&lt;17,
DATE(YEAR(EDATE('DATOS GEN.'!E5,'SAL. PROM MOD 40'!E5*12+F5)),
MONTH(EDATE('DATOS GEN.'!E5,'SAL. PROM MOD 40'!E5*12+F5)),
1),
DATE(YEAR(EDATE('DATOS GEN.'!E5,'SAL. PROM MOD 40'!E5*12+F5+1)),
MONTH(EDATE('DATOS GEN.'!E5,'SAL. PROM MOD 40'!E5*12+F5+1)),
1)))</f>
        <v>47150</v>
      </c>
      <c r="C22" s="430">
        <f ca="1">IF(DAY(DATE(YEAR(B22)+E8,MONTH(B22)+F8,1))&lt;5,
EOMONTH(DATE(YEAR(B22)+E8,MONTH(B22)+F8,0),0),
EOMONTH(DATE(YEAR(B22)+E8,MONTH(B22)+F8,1),0))</f>
        <v>47514</v>
      </c>
      <c r="D22" s="169">
        <f ca="1">+$E$17</f>
        <v>3346.7549530937495</v>
      </c>
      <c r="E22" s="181">
        <f ca="1">(C22-B22)/7+1/7</f>
        <v>52.142857142857146</v>
      </c>
      <c r="F22" s="169">
        <f t="shared" ref="F22:F53" ca="1" si="0">E22*D22</f>
        <v>174509.36541131695</v>
      </c>
      <c r="K22" s="83"/>
      <c r="L22" s="20"/>
      <c r="M22" s="282"/>
    </row>
    <row r="23" spans="2:13" ht="12.45" customHeight="1">
      <c r="B23" s="431">
        <f>+'CAL. PROM. 250 SEM'!B11</f>
        <v>46054</v>
      </c>
      <c r="C23" s="432">
        <f>+'CAL. PROM. 250 SEM'!C11</f>
        <v>46063</v>
      </c>
      <c r="D23" s="170">
        <f>+'CAL. PROM. 250 SEM'!$D$11</f>
        <v>2932.75</v>
      </c>
      <c r="E23" s="182">
        <f ca="1">IF((C23-B23)/7+1/7+SUM($E$22)&gt;250,(250-SUM($E$22)), ((C23-B23)/7)+1/7)</f>
        <v>1.4285714285714286</v>
      </c>
      <c r="F23" s="170">
        <f t="shared" ca="1" si="0"/>
        <v>4189.6428571428569</v>
      </c>
      <c r="K23" s="84"/>
      <c r="L23" s="20"/>
      <c r="M23" s="282"/>
    </row>
    <row r="24" spans="2:13" ht="12.45" customHeight="1">
      <c r="B24" s="431">
        <f>+'CAL. PROM. 250 SEM'!B12</f>
        <v>45689</v>
      </c>
      <c r="C24" s="432">
        <f>+'CAL. PROM. 250 SEM'!C12</f>
        <v>46054</v>
      </c>
      <c r="D24" s="170">
        <f>+'CAL. PROM. 250 SEM'!$D$12</f>
        <v>2714.25</v>
      </c>
      <c r="E24" s="182">
        <f ca="1">IF((C24-B24)/7+1/7+SUM($E$22:E23)&gt;250,(250-SUM($E$22:E23)), ((C24-B24)/7)+1/7)</f>
        <v>52.285714285714292</v>
      </c>
      <c r="F24" s="170">
        <f t="shared" ca="1" si="0"/>
        <v>141916.50000000003</v>
      </c>
      <c r="K24" s="83"/>
      <c r="L24" s="20"/>
      <c r="M24" s="282"/>
    </row>
    <row r="25" spans="2:13" ht="12.45" customHeight="1">
      <c r="B25" s="431">
        <f>+'CAL. PROM. 250 SEM'!B13</f>
        <v>45323</v>
      </c>
      <c r="C25" s="432">
        <f>+'CAL. PROM. 250 SEM'!C13</f>
        <v>45689</v>
      </c>
      <c r="D25" s="170">
        <f>+'CAL. PROM. 250 SEM'!$D$13</f>
        <v>2500</v>
      </c>
      <c r="E25" s="182">
        <f ca="1">IF((C25-B25)/7+1/7+SUM($E$22:E24)&gt;250,(250-SUM($E$22:E24)), ((C25-B25)/7)+1/7)</f>
        <v>52.428571428571431</v>
      </c>
      <c r="F25" s="170">
        <f t="shared" ca="1" si="0"/>
        <v>131071.42857142858</v>
      </c>
      <c r="K25" s="83"/>
      <c r="L25" s="20"/>
      <c r="M25" s="282"/>
    </row>
    <row r="26" spans="2:13" ht="12.45" customHeight="1">
      <c r="B26" s="431">
        <f>+'CAL. PROM. 250 SEM'!B14</f>
        <v>44958</v>
      </c>
      <c r="C26" s="432">
        <f>+'CAL. PROM. 250 SEM'!C14</f>
        <v>45323</v>
      </c>
      <c r="D26" s="170">
        <f>+'CAL. PROM. 250 SEM'!$D$14</f>
        <v>2200</v>
      </c>
      <c r="E26" s="182">
        <f ca="1">IF((C26-B26)/7+1/7+SUM($E$22:E25)&gt;250,(250-SUM($E$22:E25)), ((C26-B26)/7)+1/7)</f>
        <v>52.285714285714292</v>
      </c>
      <c r="F26" s="170">
        <f t="shared" ca="1" si="0"/>
        <v>115028.57142857143</v>
      </c>
    </row>
    <row r="27" spans="2:13" ht="12.45" customHeight="1">
      <c r="B27" s="431">
        <f>+'CAL. PROM. 250 SEM'!B15</f>
        <v>44593</v>
      </c>
      <c r="C27" s="432">
        <f>+'CAL. PROM. 250 SEM'!C15</f>
        <v>44958</v>
      </c>
      <c r="D27" s="170">
        <f>+'CAL. PROM. 250 SEM'!$D$15</f>
        <v>2000</v>
      </c>
      <c r="E27" s="182">
        <f ca="1">IF((C27-B27)/7+1/7+SUM($E$22:E26)&gt;250,(250-SUM($E$22:E26)), ((C27-B27)/7)+1/7)</f>
        <v>39.428571428571445</v>
      </c>
      <c r="F27" s="170">
        <f t="shared" ca="1" si="0"/>
        <v>78857.142857142884</v>
      </c>
    </row>
    <row r="28" spans="2:13" ht="12.45" customHeight="1">
      <c r="B28" s="431">
        <f>+'CAL. PROM. 250 SEM'!B16</f>
        <v>44392</v>
      </c>
      <c r="C28" s="432">
        <f>+'CAL. PROM. 250 SEM'!C16</f>
        <v>44593</v>
      </c>
      <c r="D28" s="170">
        <f>+'CAL. PROM. 250 SEM'!$D$16</f>
        <v>1900</v>
      </c>
      <c r="E28" s="182">
        <f ca="1">IF((C28-B28)/7+1/7+SUM($E$22:E27)&gt;250,(250-SUM($E$22:E27)), ((C28-B28)/7)+1/7)</f>
        <v>0</v>
      </c>
      <c r="F28" s="170">
        <f t="shared" ca="1" si="0"/>
        <v>0</v>
      </c>
      <c r="J28" s="16"/>
    </row>
    <row r="29" spans="2:13" ht="12.45" customHeight="1">
      <c r="B29" s="431">
        <f>+'CAL. PROM. 250 SEM'!B17</f>
        <v>44197</v>
      </c>
      <c r="C29" s="432">
        <f>+'CAL. PROM. 250 SEM'!C17</f>
        <v>44392</v>
      </c>
      <c r="D29" s="170">
        <f>+'CAL. PROM. 250 SEM'!$D$17</f>
        <v>1800.5</v>
      </c>
      <c r="E29" s="182">
        <f ca="1">IF((C29-B29)/7+1/7+SUM($E$22:E28)&gt;250,(250-SUM($E$22:E28)), ((C29-B29)/7)+1/7)</f>
        <v>0</v>
      </c>
      <c r="F29" s="170">
        <f t="shared" ca="1" si="0"/>
        <v>0</v>
      </c>
    </row>
    <row r="30" spans="2:13" ht="12.45" customHeight="1">
      <c r="B30" s="431">
        <f>+'CAL. PROM. 250 SEM'!B18</f>
        <v>0</v>
      </c>
      <c r="C30" s="432">
        <f>+'CAL. PROM. 250 SEM'!C18</f>
        <v>0</v>
      </c>
      <c r="D30" s="170">
        <f>+'CAL. PROM. 250 SEM'!$D$18</f>
        <v>0</v>
      </c>
      <c r="E30" s="182">
        <f ca="1">IF((C30-B30)/7+1/7+SUM($E$22:E29)&gt;250,(250-SUM($E$22:E29)), ((C30-B30)/7)+1/7)</f>
        <v>0</v>
      </c>
      <c r="F30" s="170">
        <f t="shared" ca="1" si="0"/>
        <v>0</v>
      </c>
    </row>
    <row r="31" spans="2:13" ht="12.45" customHeight="1">
      <c r="B31" s="431">
        <f>+'CAL. PROM. 250 SEM'!B19</f>
        <v>0</v>
      </c>
      <c r="C31" s="432">
        <f>+'CAL. PROM. 250 SEM'!C19</f>
        <v>0</v>
      </c>
      <c r="D31" s="170">
        <f>+'CAL. PROM. 250 SEM'!$D$19</f>
        <v>0</v>
      </c>
      <c r="E31" s="182">
        <f ca="1">IF((C31-B31)/7+1/7+SUM($E$22:E30)&gt;250,(250-SUM($E$22:E30)), ((C31-B31)/7)+1/7)</f>
        <v>0</v>
      </c>
      <c r="F31" s="170">
        <f t="shared" ca="1" si="0"/>
        <v>0</v>
      </c>
    </row>
    <row r="32" spans="2:13" ht="12.45" customHeight="1">
      <c r="B32" s="431">
        <f>+'CAL. PROM. 250 SEM'!B20</f>
        <v>0</v>
      </c>
      <c r="C32" s="432">
        <f>+'CAL. PROM. 250 SEM'!C20</f>
        <v>0</v>
      </c>
      <c r="D32" s="170">
        <f>+'CAL. PROM. 250 SEM'!$D$20</f>
        <v>0</v>
      </c>
      <c r="E32" s="182">
        <f ca="1">IF((C32-B32)/7+1/7+SUM($E$22:E31)&gt;250,(250-SUM($E$22:E31)), ((C32-B32)/7)+1/7)</f>
        <v>0</v>
      </c>
      <c r="F32" s="170">
        <f t="shared" ca="1" si="0"/>
        <v>0</v>
      </c>
    </row>
    <row r="33" spans="2:6" ht="12.45" customHeight="1">
      <c r="B33" s="431">
        <f>+'CAL. PROM. 250 SEM'!B21</f>
        <v>0</v>
      </c>
      <c r="C33" s="432">
        <f>+'CAL. PROM. 250 SEM'!C21</f>
        <v>0</v>
      </c>
      <c r="D33" s="170">
        <f>+'CAL. PROM. 250 SEM'!$D$21</f>
        <v>0</v>
      </c>
      <c r="E33" s="182">
        <f ca="1">IF((C33-B33)/7+1/7+SUM($E$22:E32)&gt;250,(250-SUM($E$22:E32)), ((C33-B33)/7)+1/7)</f>
        <v>0</v>
      </c>
      <c r="F33" s="170">
        <f t="shared" ca="1" si="0"/>
        <v>0</v>
      </c>
    </row>
    <row r="34" spans="2:6" ht="12.45" customHeight="1">
      <c r="B34" s="431">
        <f>+'CAL. PROM. 250 SEM'!B22</f>
        <v>0</v>
      </c>
      <c r="C34" s="432">
        <f>+'CAL. PROM. 250 SEM'!C22</f>
        <v>0</v>
      </c>
      <c r="D34" s="170">
        <f>+'CAL. PROM. 250 SEM'!$D$22</f>
        <v>0</v>
      </c>
      <c r="E34" s="182">
        <f ca="1">IF((C34-B34)/7+1/7+SUM($E$22:E33)&gt;250,(250-SUM($E$22:E33)), ((C34-B34)/7)+1/7)</f>
        <v>0</v>
      </c>
      <c r="F34" s="170">
        <f t="shared" ca="1" si="0"/>
        <v>0</v>
      </c>
    </row>
    <row r="35" spans="2:6" ht="12.45" customHeight="1">
      <c r="B35" s="431">
        <f>+'CAL. PROM. 250 SEM'!B23</f>
        <v>0</v>
      </c>
      <c r="C35" s="432">
        <f>+'CAL. PROM. 250 SEM'!C23</f>
        <v>0</v>
      </c>
      <c r="D35" s="170">
        <f>+'CAL. PROM. 250 SEM'!$D$23</f>
        <v>0</v>
      </c>
      <c r="E35" s="182">
        <f ca="1">IF((C35-B35)/7+1/7+SUM($E$22:E34)&gt;250,(250-SUM($E$22:E34)), ((C35-B35)/7)+1/7)</f>
        <v>0</v>
      </c>
      <c r="F35" s="170">
        <f t="shared" ca="1" si="0"/>
        <v>0</v>
      </c>
    </row>
    <row r="36" spans="2:6" ht="12.45" customHeight="1">
      <c r="B36" s="431">
        <f>+'CAL. PROM. 250 SEM'!B24</f>
        <v>0</v>
      </c>
      <c r="C36" s="432">
        <f>+'CAL. PROM. 250 SEM'!C24</f>
        <v>0</v>
      </c>
      <c r="D36" s="170">
        <f>+'CAL. PROM. 250 SEM'!$D$24</f>
        <v>0</v>
      </c>
      <c r="E36" s="182">
        <f ca="1">IF((C36-B36)/7+1/7+SUM($E$22:E35)&gt;250,(250-SUM($E$22:E35)), ((C36-B36)/7)+1/7)</f>
        <v>0</v>
      </c>
      <c r="F36" s="170">
        <f t="shared" ca="1" si="0"/>
        <v>0</v>
      </c>
    </row>
    <row r="37" spans="2:6" ht="12.45" customHeight="1">
      <c r="B37" s="431">
        <f>+'CAL. PROM. 250 SEM'!B25</f>
        <v>0</v>
      </c>
      <c r="C37" s="432">
        <f>+'CAL. PROM. 250 SEM'!C25</f>
        <v>0</v>
      </c>
      <c r="D37" s="170">
        <f>+'CAL. PROM. 250 SEM'!$D$25</f>
        <v>0</v>
      </c>
      <c r="E37" s="182">
        <f ca="1">IF((C37-B37)/7+1/7+SUM($E$22:E36)&gt;250,(250-SUM($E$22:E36)), ((C37-B37)/7)+1/7)</f>
        <v>0</v>
      </c>
      <c r="F37" s="170">
        <f t="shared" ca="1" si="0"/>
        <v>0</v>
      </c>
    </row>
    <row r="38" spans="2:6" ht="12.45" customHeight="1">
      <c r="B38" s="431">
        <f>+'CAL. PROM. 250 SEM'!B26</f>
        <v>0</v>
      </c>
      <c r="C38" s="432">
        <f>+'CAL. PROM. 250 SEM'!C26</f>
        <v>0</v>
      </c>
      <c r="D38" s="170">
        <f>+'CAL. PROM. 250 SEM'!$D$26</f>
        <v>0</v>
      </c>
      <c r="E38" s="182">
        <f ca="1">IF((C38-B38)/7+1/7+SUM($E$22:E37)&gt;250,(250-SUM($E$22:E37)), ((C38-B38)/7)+1/7)</f>
        <v>0</v>
      </c>
      <c r="F38" s="170">
        <f t="shared" ca="1" si="0"/>
        <v>0</v>
      </c>
    </row>
    <row r="39" spans="2:6" ht="12.45" customHeight="1">
      <c r="B39" s="431">
        <f>+'CAL. PROM. 250 SEM'!B27</f>
        <v>0</v>
      </c>
      <c r="C39" s="432">
        <f>+'CAL. PROM. 250 SEM'!C27</f>
        <v>0</v>
      </c>
      <c r="D39" s="170">
        <f>+'CAL. PROM. 250 SEM'!$D$27</f>
        <v>0</v>
      </c>
      <c r="E39" s="182">
        <f ca="1">IF((C39-B39)/7+1/7+SUM($E$22:E38)&gt;250,(250-SUM($E$22:E38)), ((C39-B39)/7)+1/7)</f>
        <v>0</v>
      </c>
      <c r="F39" s="170">
        <f t="shared" ca="1" si="0"/>
        <v>0</v>
      </c>
    </row>
    <row r="40" spans="2:6" ht="12.45" customHeight="1">
      <c r="B40" s="431">
        <f>+'CAL. PROM. 250 SEM'!B28</f>
        <v>0</v>
      </c>
      <c r="C40" s="432">
        <f>+'CAL. PROM. 250 SEM'!C28</f>
        <v>0</v>
      </c>
      <c r="D40" s="170">
        <f>+'CAL. PROM. 250 SEM'!$D$28</f>
        <v>0</v>
      </c>
      <c r="E40" s="182">
        <f ca="1">IF((C40-B40)/7+1/7+SUM($E$22:E39)&gt;250,(250-SUM($E$22:E39)), ((C40-B40)/7)+1/7)</f>
        <v>0</v>
      </c>
      <c r="F40" s="170">
        <f t="shared" ca="1" si="0"/>
        <v>0</v>
      </c>
    </row>
    <row r="41" spans="2:6" ht="12.45" customHeight="1">
      <c r="B41" s="431">
        <f>+'CAL. PROM. 250 SEM'!B29</f>
        <v>0</v>
      </c>
      <c r="C41" s="432">
        <f>+'CAL. PROM. 250 SEM'!C29</f>
        <v>0</v>
      </c>
      <c r="D41" s="170">
        <f>+'CAL. PROM. 250 SEM'!$D$29</f>
        <v>0</v>
      </c>
      <c r="E41" s="182">
        <f ca="1">IF((C41-B41)/7+1/7+SUM($E$22:E40)&gt;250,(250-SUM($E$22:E40)), ((C41-B41)/7)+1/7)</f>
        <v>0</v>
      </c>
      <c r="F41" s="170">
        <f t="shared" ca="1" si="0"/>
        <v>0</v>
      </c>
    </row>
    <row r="42" spans="2:6" ht="12.45" customHeight="1">
      <c r="B42" s="431">
        <f>+'CAL. PROM. 250 SEM'!B30</f>
        <v>0</v>
      </c>
      <c r="C42" s="432">
        <f>+'CAL. PROM. 250 SEM'!C30</f>
        <v>0</v>
      </c>
      <c r="D42" s="170">
        <f>+'CAL. PROM. 250 SEM'!$D$30</f>
        <v>0</v>
      </c>
      <c r="E42" s="182">
        <f ca="1">IF((C42-B42)/7+1/7+SUM($E$22:E41)&gt;250,(250-SUM($E$22:E41)), ((C42-B42)/7)+1/7)</f>
        <v>0</v>
      </c>
      <c r="F42" s="170">
        <f t="shared" ca="1" si="0"/>
        <v>0</v>
      </c>
    </row>
    <row r="43" spans="2:6" ht="12.45" customHeight="1">
      <c r="B43" s="431">
        <f>+'CAL. PROM. 250 SEM'!B31</f>
        <v>0</v>
      </c>
      <c r="C43" s="432">
        <f>+'CAL. PROM. 250 SEM'!C31</f>
        <v>0</v>
      </c>
      <c r="D43" s="170">
        <f>+'CAL. PROM. 250 SEM'!$D$31</f>
        <v>0</v>
      </c>
      <c r="E43" s="182">
        <f ca="1">IF((C43-B43)/7+1/7+SUM($E$22:E42)&gt;250,(250-SUM($E$22:E42)), ((C43-B43)/7)+1/7)</f>
        <v>0</v>
      </c>
      <c r="F43" s="170">
        <f t="shared" ca="1" si="0"/>
        <v>0</v>
      </c>
    </row>
    <row r="44" spans="2:6" ht="12.45" customHeight="1">
      <c r="B44" s="431">
        <f>+'CAL. PROM. 250 SEM'!B32</f>
        <v>0</v>
      </c>
      <c r="C44" s="432">
        <f>+'CAL. PROM. 250 SEM'!C32</f>
        <v>0</v>
      </c>
      <c r="D44" s="170">
        <f>+'CAL. PROM. 250 SEM'!$D$32</f>
        <v>0</v>
      </c>
      <c r="E44" s="182">
        <f ca="1">IF((C44-B44)/7+1/7+SUM($E$22:E43)&gt;250,(250-SUM($E$22:E43)), ((C44-B44)/7)+1/7)</f>
        <v>0</v>
      </c>
      <c r="F44" s="170">
        <f t="shared" ca="1" si="0"/>
        <v>0</v>
      </c>
    </row>
    <row r="45" spans="2:6" ht="12.45" customHeight="1">
      <c r="B45" s="431">
        <f>+'CAL. PROM. 250 SEM'!B33</f>
        <v>0</v>
      </c>
      <c r="C45" s="432">
        <f>+'CAL. PROM. 250 SEM'!C33</f>
        <v>0</v>
      </c>
      <c r="D45" s="170">
        <f>+'CAL. PROM. 250 SEM'!$D$33</f>
        <v>0</v>
      </c>
      <c r="E45" s="182">
        <f ca="1">IF((C45-B45)/7+1/7+SUM($E$22:E44)&gt;250,(250-SUM($E$22:E44)), ((C45-B45)/7)+1/7)</f>
        <v>0</v>
      </c>
      <c r="F45" s="170">
        <f t="shared" ca="1" si="0"/>
        <v>0</v>
      </c>
    </row>
    <row r="46" spans="2:6" ht="12.45" customHeight="1">
      <c r="B46" s="431">
        <f>+'CAL. PROM. 250 SEM'!B34</f>
        <v>0</v>
      </c>
      <c r="C46" s="432">
        <f>+'CAL. PROM. 250 SEM'!C34</f>
        <v>0</v>
      </c>
      <c r="D46" s="170">
        <f>+'CAL. PROM. 250 SEM'!$D$34</f>
        <v>0</v>
      </c>
      <c r="E46" s="182">
        <f ca="1">IF((C46-B46)/7+1/7+SUM($E$22:E45)&gt;250,(250-SUM($E$22:E45)), ((C46-B46)/7)+1/7)</f>
        <v>0</v>
      </c>
      <c r="F46" s="170">
        <f t="shared" ca="1" si="0"/>
        <v>0</v>
      </c>
    </row>
    <row r="47" spans="2:6" ht="12.45" customHeight="1">
      <c r="B47" s="431">
        <f>+'CAL. PROM. 250 SEM'!B35</f>
        <v>0</v>
      </c>
      <c r="C47" s="432">
        <f>+'CAL. PROM. 250 SEM'!C35</f>
        <v>0</v>
      </c>
      <c r="D47" s="170">
        <f>+'CAL. PROM. 250 SEM'!$D$35</f>
        <v>0</v>
      </c>
      <c r="E47" s="182">
        <f ca="1">IF((C47-B47)/7+1/7+SUM($E$22:E46)&gt;250,(250-SUM($E$22:E46)), ((C47-B47)/7)+1/7)</f>
        <v>0</v>
      </c>
      <c r="F47" s="170">
        <f t="shared" ca="1" si="0"/>
        <v>0</v>
      </c>
    </row>
    <row r="48" spans="2:6" ht="12.45" customHeight="1">
      <c r="B48" s="431">
        <f>+'CAL. PROM. 250 SEM'!B36</f>
        <v>0</v>
      </c>
      <c r="C48" s="432">
        <f>+'CAL. PROM. 250 SEM'!C36</f>
        <v>0</v>
      </c>
      <c r="D48" s="170">
        <f>+'CAL. PROM. 250 SEM'!$D$36</f>
        <v>0</v>
      </c>
      <c r="E48" s="182">
        <f ca="1">IF((C48-B48)/7+1/7+SUM($E$22:E47)&gt;250,(250-SUM($E$22:E47)), ((C48-B48)/7)+1/7)</f>
        <v>0</v>
      </c>
      <c r="F48" s="170">
        <f t="shared" ca="1" si="0"/>
        <v>0</v>
      </c>
    </row>
    <row r="49" spans="2:6" ht="12.45" customHeight="1">
      <c r="B49" s="431">
        <f>+'CAL. PROM. 250 SEM'!B37</f>
        <v>0</v>
      </c>
      <c r="C49" s="432">
        <f>+'CAL. PROM. 250 SEM'!C37</f>
        <v>0</v>
      </c>
      <c r="D49" s="170">
        <f>+'CAL. PROM. 250 SEM'!$D$37</f>
        <v>0</v>
      </c>
      <c r="E49" s="182">
        <f ca="1">IF((C49-B49)/7+1/7+SUM($E$22:E48)&gt;250,(250-SUM($E$22:E48)), ((C49-B49)/7)+1/7)</f>
        <v>0</v>
      </c>
      <c r="F49" s="170">
        <f t="shared" ca="1" si="0"/>
        <v>0</v>
      </c>
    </row>
    <row r="50" spans="2:6" ht="12.45" customHeight="1">
      <c r="B50" s="431">
        <f>+'CAL. PROM. 250 SEM'!B38</f>
        <v>0</v>
      </c>
      <c r="C50" s="432">
        <f>+'CAL. PROM. 250 SEM'!C38</f>
        <v>0</v>
      </c>
      <c r="D50" s="170">
        <f>+'CAL. PROM. 250 SEM'!$D$38</f>
        <v>0</v>
      </c>
      <c r="E50" s="182">
        <f ca="1">IF((C50-B50)/7+1/7+SUM($E$22:E49)&gt;250,(250-SUM($E$22:E49)), ((C50-B50)/7)+1/7)</f>
        <v>0</v>
      </c>
      <c r="F50" s="170">
        <f t="shared" ca="1" si="0"/>
        <v>0</v>
      </c>
    </row>
    <row r="51" spans="2:6" ht="12.45" customHeight="1">
      <c r="B51" s="431">
        <f>+'CAL. PROM. 250 SEM'!B39</f>
        <v>0</v>
      </c>
      <c r="C51" s="432">
        <f>+'CAL. PROM. 250 SEM'!C39</f>
        <v>0</v>
      </c>
      <c r="D51" s="170">
        <f>+'CAL. PROM. 250 SEM'!$D$39</f>
        <v>0</v>
      </c>
      <c r="E51" s="182">
        <f ca="1">IF((C51-B51)/7+1/7+SUM($E$22:E50)&gt;250,(250-SUM($E$22:E50)), ((C51-B51)/7)+1/7)</f>
        <v>0</v>
      </c>
      <c r="F51" s="170">
        <f t="shared" ca="1" si="0"/>
        <v>0</v>
      </c>
    </row>
    <row r="52" spans="2:6" ht="12.45" customHeight="1">
      <c r="B52" s="431">
        <f>+'CAL. PROM. 250 SEM'!B40</f>
        <v>0</v>
      </c>
      <c r="C52" s="432">
        <f>+'CAL. PROM. 250 SEM'!C40</f>
        <v>0</v>
      </c>
      <c r="D52" s="170">
        <f>+'CAL. PROM. 250 SEM'!$D$40</f>
        <v>0</v>
      </c>
      <c r="E52" s="182">
        <f ca="1">IF((C52-B52)/7+1/7+SUM($E$22:E51)&gt;250,(250-SUM($E$22:E51)), ((C52-B52)/7)+1/7)</f>
        <v>0</v>
      </c>
      <c r="F52" s="170">
        <f t="shared" ca="1" si="0"/>
        <v>0</v>
      </c>
    </row>
    <row r="53" spans="2:6" ht="12.45" customHeight="1">
      <c r="B53" s="431">
        <f>+'CAL. PROM. 250 SEM'!B41</f>
        <v>0</v>
      </c>
      <c r="C53" s="432">
        <f>+'CAL. PROM. 250 SEM'!C41</f>
        <v>0</v>
      </c>
      <c r="D53" s="170">
        <f>+'CAL. PROM. 250 SEM'!$D$41</f>
        <v>0</v>
      </c>
      <c r="E53" s="182">
        <f ca="1">IF((C53-B53)/7+1/7+SUM($E$22:E52)&gt;250,(250-SUM($E$22:E52)), ((C53-B53)/7)+1/7)</f>
        <v>0</v>
      </c>
      <c r="F53" s="170">
        <f t="shared" ca="1" si="0"/>
        <v>0</v>
      </c>
    </row>
    <row r="54" spans="2:6" ht="12.45" customHeight="1">
      <c r="B54" s="431">
        <f>+'CAL. PROM. 250 SEM'!B42</f>
        <v>0</v>
      </c>
      <c r="C54" s="432">
        <f>+'CAL. PROM. 250 SEM'!C42</f>
        <v>0</v>
      </c>
      <c r="D54" s="170">
        <f>+'CAL. PROM. 250 SEM'!$D$42</f>
        <v>0</v>
      </c>
      <c r="E54" s="182">
        <f ca="1">IF((C54-B54)/7+1/7+SUM($E$22:E53)&gt;250,(250-SUM($E$22:E53)), ((C54-B54)/7)+1/7)</f>
        <v>0</v>
      </c>
      <c r="F54" s="170">
        <f t="shared" ref="F54:F75" ca="1" si="1">E54*D54</f>
        <v>0</v>
      </c>
    </row>
    <row r="55" spans="2:6" ht="12.45" customHeight="1">
      <c r="B55" s="431">
        <f>+'CAL. PROM. 250 SEM'!B43</f>
        <v>0</v>
      </c>
      <c r="C55" s="432">
        <f>+'CAL. PROM. 250 SEM'!C43</f>
        <v>0</v>
      </c>
      <c r="D55" s="170">
        <f>+'CAL. PROM. 250 SEM'!$D$43</f>
        <v>0</v>
      </c>
      <c r="E55" s="182">
        <f ca="1">IF((C55-B55)/7+1/7+SUM($E$22:E54)&gt;250,(250-SUM($E$22:E54)), ((C55-B55)/7)+1/7)</f>
        <v>0</v>
      </c>
      <c r="F55" s="170">
        <f t="shared" ca="1" si="1"/>
        <v>0</v>
      </c>
    </row>
    <row r="56" spans="2:6" ht="12.45" customHeight="1">
      <c r="B56" s="431">
        <f>+'CAL. PROM. 250 SEM'!B44</f>
        <v>0</v>
      </c>
      <c r="C56" s="432">
        <f>+'CAL. PROM. 250 SEM'!C44</f>
        <v>0</v>
      </c>
      <c r="D56" s="170">
        <f>+'CAL. PROM. 250 SEM'!$D$44</f>
        <v>0</v>
      </c>
      <c r="E56" s="182">
        <f ca="1">IF((C56-B56)/7+1/7+SUM($E$22:E55)&gt;250,(250-SUM($E$22:E55)), ((C56-B56)/7)+1/7)</f>
        <v>0</v>
      </c>
      <c r="F56" s="170">
        <f t="shared" ca="1" si="1"/>
        <v>0</v>
      </c>
    </row>
    <row r="57" spans="2:6" ht="12.45" customHeight="1">
      <c r="B57" s="431">
        <f>+'CAL. PROM. 250 SEM'!B45</f>
        <v>0</v>
      </c>
      <c r="C57" s="432">
        <f>+'CAL. PROM. 250 SEM'!C45</f>
        <v>0</v>
      </c>
      <c r="D57" s="170">
        <f>+'CAL. PROM. 250 SEM'!$D$45</f>
        <v>0</v>
      </c>
      <c r="E57" s="182">
        <f ca="1">IF((C57-B57)/7+1/7+SUM($E$22:E56)&gt;250,(250-SUM($E$22:E56)), ((C57-B57)/7)+1/7)</f>
        <v>0</v>
      </c>
      <c r="F57" s="170">
        <f t="shared" ca="1" si="1"/>
        <v>0</v>
      </c>
    </row>
    <row r="58" spans="2:6" ht="12.45" customHeight="1">
      <c r="B58" s="431">
        <f>+'CAL. PROM. 250 SEM'!B46</f>
        <v>0</v>
      </c>
      <c r="C58" s="432">
        <f>+'CAL. PROM. 250 SEM'!C46</f>
        <v>0</v>
      </c>
      <c r="D58" s="170">
        <f>+'CAL. PROM. 250 SEM'!$D$46</f>
        <v>0</v>
      </c>
      <c r="E58" s="182">
        <f ca="1">IF((C58-B58)/7+1/7+SUM($E$22:E57)&gt;250,(250-SUM($E$22:E57)), ((C58-B58)/7)+1/7)</f>
        <v>0</v>
      </c>
      <c r="F58" s="170">
        <f t="shared" ca="1" si="1"/>
        <v>0</v>
      </c>
    </row>
    <row r="59" spans="2:6" ht="12.45" customHeight="1">
      <c r="B59" s="431">
        <f>+'CAL. PROM. 250 SEM'!B47</f>
        <v>0</v>
      </c>
      <c r="C59" s="432">
        <f>+'CAL. PROM. 250 SEM'!C47</f>
        <v>0</v>
      </c>
      <c r="D59" s="170">
        <f>+'CAL. PROM. 250 SEM'!$D$47</f>
        <v>0</v>
      </c>
      <c r="E59" s="182">
        <f ca="1">IF((C59-B59)/7+1/7+SUM($E$22:E58)&gt;250,(250-SUM($E$22:E58)), ((C59-B59)/7)+1/7)</f>
        <v>0</v>
      </c>
      <c r="F59" s="170">
        <f t="shared" ca="1" si="1"/>
        <v>0</v>
      </c>
    </row>
    <row r="60" spans="2:6" ht="12.45" customHeight="1">
      <c r="B60" s="431">
        <f>+'CAL. PROM. 250 SEM'!B48</f>
        <v>0</v>
      </c>
      <c r="C60" s="432">
        <f>+'CAL. PROM. 250 SEM'!C48</f>
        <v>0</v>
      </c>
      <c r="D60" s="170">
        <f>+'CAL. PROM. 250 SEM'!$D$48</f>
        <v>0</v>
      </c>
      <c r="E60" s="182">
        <f ca="1">IF((C60-B60)/7+1/7+SUM($E$22:E59)&gt;250,(250-SUM($E$22:E59)), ((C60-B60)/7)+1/7)</f>
        <v>0</v>
      </c>
      <c r="F60" s="170">
        <f t="shared" ca="1" si="1"/>
        <v>0</v>
      </c>
    </row>
    <row r="61" spans="2:6" ht="12.45" customHeight="1">
      <c r="B61" s="431">
        <f>+'CAL. PROM. 250 SEM'!B49</f>
        <v>0</v>
      </c>
      <c r="C61" s="432">
        <f>+'CAL. PROM. 250 SEM'!C49</f>
        <v>0</v>
      </c>
      <c r="D61" s="170">
        <f>+'CAL. PROM. 250 SEM'!$D$49</f>
        <v>0</v>
      </c>
      <c r="E61" s="182">
        <f ca="1">IF((C61-B61)/7+1/7+SUM($E$22:E60)&gt;250,(250-SUM($E$22:E60)), ((C61-B61)/7)+1/7)</f>
        <v>0</v>
      </c>
      <c r="F61" s="170">
        <f t="shared" ca="1" si="1"/>
        <v>0</v>
      </c>
    </row>
    <row r="62" spans="2:6" ht="12.45" customHeight="1">
      <c r="B62" s="431">
        <f>+'CAL. PROM. 250 SEM'!B50</f>
        <v>0</v>
      </c>
      <c r="C62" s="432">
        <f>+'CAL. PROM. 250 SEM'!C50</f>
        <v>0</v>
      </c>
      <c r="D62" s="170">
        <f>+'CAL. PROM. 250 SEM'!$D$50</f>
        <v>0</v>
      </c>
      <c r="E62" s="182">
        <f ca="1">IF((C62-B62)/7+1/7+SUM($E$22:E61)&gt;250,(250-SUM($E$22:E61)), ((C62-B62)/7)+1/7)</f>
        <v>0</v>
      </c>
      <c r="F62" s="170">
        <f t="shared" ca="1" si="1"/>
        <v>0</v>
      </c>
    </row>
    <row r="63" spans="2:6" ht="12.45" customHeight="1">
      <c r="B63" s="431">
        <f>+'CAL. PROM. 250 SEM'!B51</f>
        <v>0</v>
      </c>
      <c r="C63" s="432">
        <f>+'CAL. PROM. 250 SEM'!C51</f>
        <v>0</v>
      </c>
      <c r="D63" s="170">
        <f>+'CAL. PROM. 250 SEM'!$D$51</f>
        <v>0</v>
      </c>
      <c r="E63" s="182">
        <f ca="1">IF((C63-B63)/7+1/7+SUM($E$22:E62)&gt;250,(250-SUM($E$22:E62)), ((C63-B63)/7)+1/7)</f>
        <v>0</v>
      </c>
      <c r="F63" s="170">
        <f t="shared" ca="1" si="1"/>
        <v>0</v>
      </c>
    </row>
    <row r="64" spans="2:6" ht="12.45" customHeight="1">
      <c r="B64" s="431">
        <f>+'CAL. PROM. 250 SEM'!B52</f>
        <v>0</v>
      </c>
      <c r="C64" s="432">
        <f>+'CAL. PROM. 250 SEM'!C52</f>
        <v>0</v>
      </c>
      <c r="D64" s="170">
        <f>+'CAL. PROM. 250 SEM'!$D$52</f>
        <v>0</v>
      </c>
      <c r="E64" s="182">
        <f ca="1">IF((C64-B64)/7+1/7+SUM($E$22:E63)&gt;250,(250-SUM($E$22:E63)), ((C64-B64)/7)+1/7)</f>
        <v>0</v>
      </c>
      <c r="F64" s="170">
        <f t="shared" ca="1" si="1"/>
        <v>0</v>
      </c>
    </row>
    <row r="65" spans="2:6" ht="12.45" customHeight="1">
      <c r="B65" s="431">
        <f>+'CAL. PROM. 250 SEM'!B53</f>
        <v>0</v>
      </c>
      <c r="C65" s="432">
        <f>+'CAL. PROM. 250 SEM'!C53</f>
        <v>0</v>
      </c>
      <c r="D65" s="170">
        <f>+'CAL. PROM. 250 SEM'!$D$53</f>
        <v>0</v>
      </c>
      <c r="E65" s="182">
        <f ca="1">IF((C65-B65)/7+1/7+SUM($E$22:E64)&gt;250,(250-SUM($E$22:E64)), ((C65-B65)/7)+1/7)</f>
        <v>0</v>
      </c>
      <c r="F65" s="170">
        <f t="shared" ca="1" si="1"/>
        <v>0</v>
      </c>
    </row>
    <row r="66" spans="2:6" ht="12.45" customHeight="1">
      <c r="B66" s="431">
        <f>+'CAL. PROM. 250 SEM'!B54</f>
        <v>0</v>
      </c>
      <c r="C66" s="432">
        <f>+'CAL. PROM. 250 SEM'!C54</f>
        <v>0</v>
      </c>
      <c r="D66" s="170">
        <f>+'CAL. PROM. 250 SEM'!$D$54</f>
        <v>0</v>
      </c>
      <c r="E66" s="182">
        <f ca="1">IF((C66-B66)/7+1/7+SUM($E$22:E65)&gt;250,(250-SUM($E$22:E65)), ((C66-B66)/7)+1/7)</f>
        <v>0</v>
      </c>
      <c r="F66" s="170">
        <f t="shared" ca="1" si="1"/>
        <v>0</v>
      </c>
    </row>
    <row r="67" spans="2:6" ht="12.45" customHeight="1">
      <c r="B67" s="431">
        <f>+'CAL. PROM. 250 SEM'!B55</f>
        <v>0</v>
      </c>
      <c r="C67" s="432">
        <f>+'CAL. PROM. 250 SEM'!C55</f>
        <v>0</v>
      </c>
      <c r="D67" s="170">
        <f>+'CAL. PROM. 250 SEM'!$D$55</f>
        <v>0</v>
      </c>
      <c r="E67" s="182">
        <f ca="1">IF((C67-B67)/7+1/7+SUM($E$22:E66)&gt;250,(250-SUM($E$22:E66)), ((C67-B67)/7)+1/7)</f>
        <v>0</v>
      </c>
      <c r="F67" s="170">
        <f t="shared" ca="1" si="1"/>
        <v>0</v>
      </c>
    </row>
    <row r="68" spans="2:6" ht="12.45" customHeight="1">
      <c r="B68" s="431">
        <f>+'CAL. PROM. 250 SEM'!B56</f>
        <v>0</v>
      </c>
      <c r="C68" s="432">
        <f>+'CAL. PROM. 250 SEM'!C56</f>
        <v>0</v>
      </c>
      <c r="D68" s="170">
        <f>+'CAL. PROM. 250 SEM'!$D$56</f>
        <v>0</v>
      </c>
      <c r="E68" s="182">
        <f ca="1">IF((C68-B68)/7+1/7+SUM($E$22:E67)&gt;250,(250-SUM($E$22:E67)), ((C68-B68)/7)+1/7)</f>
        <v>0</v>
      </c>
      <c r="F68" s="170">
        <f t="shared" ca="1" si="1"/>
        <v>0</v>
      </c>
    </row>
    <row r="69" spans="2:6" ht="12.45" customHeight="1">
      <c r="B69" s="431">
        <f>+'CAL. PROM. 250 SEM'!B57</f>
        <v>0</v>
      </c>
      <c r="C69" s="432">
        <f>+'CAL. PROM. 250 SEM'!C57</f>
        <v>0</v>
      </c>
      <c r="D69" s="170">
        <f>+'CAL. PROM. 250 SEM'!$D$57</f>
        <v>0</v>
      </c>
      <c r="E69" s="182">
        <f ca="1">IF((C69-B69)/7+1/7+SUM($E$22:E68)&gt;250,(250-SUM($E$22:E68)), ((C69-B69)/7)+1/7)</f>
        <v>0</v>
      </c>
      <c r="F69" s="170">
        <f t="shared" ca="1" si="1"/>
        <v>0</v>
      </c>
    </row>
    <row r="70" spans="2:6" ht="12.45" customHeight="1">
      <c r="B70" s="431">
        <f>+'CAL. PROM. 250 SEM'!B58</f>
        <v>0</v>
      </c>
      <c r="C70" s="432">
        <f>+'CAL. PROM. 250 SEM'!C58</f>
        <v>0</v>
      </c>
      <c r="D70" s="170">
        <f>+'CAL. PROM. 250 SEM'!$D$58</f>
        <v>0</v>
      </c>
      <c r="E70" s="182">
        <f ca="1">IF((C70-B70)/7+1/7+SUM($E$22:E69)&gt;250,(250-SUM($E$22:E69)), ((C70-B70)/7)+1/7)</f>
        <v>0</v>
      </c>
      <c r="F70" s="170">
        <f t="shared" ca="1" si="1"/>
        <v>0</v>
      </c>
    </row>
    <row r="71" spans="2:6" ht="12.45" customHeight="1">
      <c r="B71" s="431">
        <f>+'CAL. PROM. 250 SEM'!B59</f>
        <v>0</v>
      </c>
      <c r="C71" s="432">
        <f>+'CAL. PROM. 250 SEM'!C59</f>
        <v>0</v>
      </c>
      <c r="D71" s="170">
        <f>+'CAL. PROM. 250 SEM'!$D$59</f>
        <v>0</v>
      </c>
      <c r="E71" s="182">
        <f ca="1">IF((C71-B71)/7+1/7+SUM($E$22:E70)&gt;250,(250-SUM($E$22:E70)), ((C71-B71)/7)+1/7)</f>
        <v>0</v>
      </c>
      <c r="F71" s="170">
        <f t="shared" ca="1" si="1"/>
        <v>0</v>
      </c>
    </row>
    <row r="72" spans="2:6" ht="12.45" customHeight="1">
      <c r="B72" s="431">
        <f>+'CAL. PROM. 250 SEM'!B60</f>
        <v>0</v>
      </c>
      <c r="C72" s="432">
        <f>+'CAL. PROM. 250 SEM'!C60</f>
        <v>0</v>
      </c>
      <c r="D72" s="170">
        <f>+'CAL. PROM. 250 SEM'!$D$60</f>
        <v>0</v>
      </c>
      <c r="E72" s="182">
        <f ca="1">IF((C72-B72)/7+1/7+SUM($E$22:E71)&gt;250,(250-SUM($E$22:E71)), ((C72-B72)/7)+1/7)</f>
        <v>0</v>
      </c>
      <c r="F72" s="170">
        <f t="shared" ca="1" si="1"/>
        <v>0</v>
      </c>
    </row>
    <row r="73" spans="2:6" ht="12.45" customHeight="1">
      <c r="B73" s="431">
        <f>+'CAL. PROM. 250 SEM'!B61</f>
        <v>0</v>
      </c>
      <c r="C73" s="432">
        <f>+'CAL. PROM. 250 SEM'!C61</f>
        <v>0</v>
      </c>
      <c r="D73" s="170">
        <f>+'CAL. PROM. 250 SEM'!$D$61</f>
        <v>0</v>
      </c>
      <c r="E73" s="182">
        <f ca="1">IF((C73-B73)/7+1/7+SUM($E$22:E72)&gt;250,(250-SUM($E$22:E72)), ((C73-B73)/7)+1/7)</f>
        <v>0</v>
      </c>
      <c r="F73" s="170">
        <f t="shared" ca="1" si="1"/>
        <v>0</v>
      </c>
    </row>
    <row r="74" spans="2:6" ht="12.45" customHeight="1">
      <c r="B74" s="431">
        <f>+'CAL. PROM. 250 SEM'!B62</f>
        <v>0</v>
      </c>
      <c r="C74" s="432">
        <f>+'CAL. PROM. 250 SEM'!C62</f>
        <v>0</v>
      </c>
      <c r="D74" s="170">
        <f>+'CAL. PROM. 250 SEM'!$D$62</f>
        <v>0</v>
      </c>
      <c r="E74" s="182">
        <f ca="1">IF((C74-B74)/7+1/7+SUM($E$22:E73)&gt;250,(250-SUM($E$22:E73)), ((C74-B74)/7)+1/7)</f>
        <v>0</v>
      </c>
      <c r="F74" s="170">
        <f t="shared" ca="1" si="1"/>
        <v>0</v>
      </c>
    </row>
    <row r="75" spans="2:6" ht="12.45" customHeight="1" thickBot="1">
      <c r="B75" s="431">
        <f>+'CAL. PROM. 250 SEM'!B63</f>
        <v>0</v>
      </c>
      <c r="C75" s="433">
        <f>+'CAL. PROM. 250 SEM'!C63</f>
        <v>0</v>
      </c>
      <c r="D75" s="171">
        <f>+'CAL. PROM. 250 SEM'!$D$63</f>
        <v>0</v>
      </c>
      <c r="E75" s="182">
        <f ca="1">IF((C75-B75)/7+1/7+SUM($E$22:E74)&gt;250,(250-SUM($E$22:E74)), ((C75-B75)/7)+1/7)</f>
        <v>0</v>
      </c>
      <c r="F75" s="171">
        <f t="shared" ca="1" si="1"/>
        <v>0</v>
      </c>
    </row>
    <row r="76" spans="2:6" ht="14.4">
      <c r="D76"/>
    </row>
    <row r="77" spans="2:6" ht="14.4">
      <c r="D77"/>
    </row>
    <row r="78" spans="2:6" ht="14.4">
      <c r="D78"/>
    </row>
    <row r="79" spans="2:6" ht="14.4">
      <c r="D79"/>
    </row>
    <row r="80" spans="2:6" ht="14.4">
      <c r="D80"/>
    </row>
    <row r="81" spans="4:4" ht="14.4">
      <c r="D81"/>
    </row>
    <row r="82" spans="4:4" ht="14.4">
      <c r="D82"/>
    </row>
    <row r="83" spans="4:4" ht="14.4">
      <c r="D83"/>
    </row>
    <row r="84" spans="4:4" ht="14.4">
      <c r="D84"/>
    </row>
    <row r="85" spans="4:4" ht="14.4">
      <c r="D85"/>
    </row>
    <row r="86" spans="4:4" ht="14.4">
      <c r="D86"/>
    </row>
    <row r="87" spans="4:4" ht="14.4">
      <c r="D87"/>
    </row>
    <row r="88" spans="4:4" ht="14.4">
      <c r="D88"/>
    </row>
    <row r="89" spans="4:4" ht="14.4">
      <c r="D89"/>
    </row>
    <row r="90" spans="4:4" ht="14.4">
      <c r="D90"/>
    </row>
    <row r="91" spans="4:4" ht="14.4">
      <c r="D91"/>
    </row>
    <row r="92" spans="4:4" ht="14.4">
      <c r="D92"/>
    </row>
    <row r="93" spans="4:4" ht="14.4">
      <c r="D93"/>
    </row>
    <row r="94" spans="4:4" ht="14.4">
      <c r="D94"/>
    </row>
  </sheetData>
  <sheetProtection algorithmName="SHA-512" hashValue="Vdb/M1gkOI16hPY96KGQDUgdcGayFoVu6fw/7dYekRNJZtNRGtTUqQpxB7EkVlE7gy+cozCY8WLYm21XpMMdgA==" saltValue="m0KNx7Kzl+Yawy4Y8b6eWA==" spinCount="100000" sheet="1" objects="1" scenarios="1"/>
  <protectedRanges>
    <protectedRange sqref="L8 L4 L11" name="Rango3"/>
    <protectedRange sqref="E16" name="Rango1"/>
    <protectedRange sqref="E10:E11" name="Rango2"/>
  </protectedRanges>
  <mergeCells count="23">
    <mergeCell ref="E13:F13"/>
    <mergeCell ref="E16:F16"/>
    <mergeCell ref="E17:F17"/>
    <mergeCell ref="E18:F18"/>
    <mergeCell ref="E19:F19"/>
    <mergeCell ref="E15:F15"/>
    <mergeCell ref="E14:F14"/>
    <mergeCell ref="B17:D17"/>
    <mergeCell ref="B10:D10"/>
    <mergeCell ref="B19:D19"/>
    <mergeCell ref="B18:D18"/>
    <mergeCell ref="B16:D16"/>
    <mergeCell ref="B13:D13"/>
    <mergeCell ref="B15:D15"/>
    <mergeCell ref="B14:D14"/>
    <mergeCell ref="B3:F3"/>
    <mergeCell ref="B7:D8"/>
    <mergeCell ref="B12:F12"/>
    <mergeCell ref="K1:L2"/>
    <mergeCell ref="K3:L3"/>
    <mergeCell ref="B1:F1"/>
    <mergeCell ref="B4:D5"/>
    <mergeCell ref="E10:F10"/>
  </mergeCells>
  <phoneticPr fontId="67" type="noConversion"/>
  <conditionalFormatting sqref="E22:E75">
    <cfRule type="cellIs" dxfId="41" priority="1" operator="greaterThan">
      <formula>0.01</formula>
    </cfRule>
    <cfRule type="cellIs" dxfId="40" priority="2" operator="lessThanOrEqual">
      <formula>0</formula>
    </cfRule>
  </conditionalFormatting>
  <dataValidations count="1">
    <dataValidation allowBlank="1" showInputMessage="1" showErrorMessage="1" error="La edad para iniciar Modalidad 40 debe ser igual o mayor a tu edad actual." sqref="E17" xr:uid="{DA04B2EC-D0FB-4BE6-810C-388ADA2D595C}"/>
  </dataValidations>
  <pageMargins left="0.70866141732283472" right="0.70866141732283472" top="0.74803149606299213" bottom="0.74803149606299213" header="0.31496062992125984" footer="0.31496062992125984"/>
  <pageSetup paperSize="13" orientation="portrait" r:id="rId1"/>
  <headerFooter>
    <oddHeader xml:space="preserve">&amp;CCALCULO DE TUS SEMANAS COTIZADAS    
</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8" r:id="rId4" name="Button 18">
              <controlPr defaultSize="0" print="0" autoFill="0" autoPict="0" macro="[0]!PrintValues">
                <anchor moveWithCells="1" sizeWithCells="1">
                  <from>
                    <xdr:col>6</xdr:col>
                    <xdr:colOff>228600</xdr:colOff>
                    <xdr:row>16</xdr:row>
                    <xdr:rowOff>190500</xdr:rowOff>
                  </from>
                  <to>
                    <xdr:col>8</xdr:col>
                    <xdr:colOff>411480</xdr:colOff>
                    <xdr:row>18</xdr:row>
                    <xdr:rowOff>350520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errorTitle="Salario no permitido" error="El salario registrado para Modalidad 40 debe ser igual o mayor a tu último salario percibido." xr:uid="{1FB5FEBC-8414-439A-A6B0-CE1DD0D591EE}">
          <x14:formula1>
            <xm:f>'1'!$C$30:$C$54</xm:f>
          </x14:formula1>
          <xm:sqref>E10:E11</xm:sqref>
        </x14:dataValidation>
        <x14:dataValidation type="list" allowBlank="1" showInputMessage="1" showErrorMessage="1" error="La edad para iniciar Modalidad 40 debe ser igual o mayor a tu edad actual." xr:uid="{F90667D5-D1C8-460B-AD78-D6FDD4F871B2}">
          <x14:formula1>
            <xm:f>'1'!$M$3:$M$14</xm:f>
          </x14:formula1>
          <xm:sqref>F5</xm:sqref>
        </x14:dataValidation>
        <x14:dataValidation type="list" allowBlank="1" showInputMessage="1" showErrorMessage="1" error="La edad para iniciar Modalidad 40 debe ser igual o mayor a tu edad actual." xr:uid="{1C611234-952F-45A0-95DE-1FB3EA77F778}">
          <x14:formula1>
            <xm:f>'1'!$R$3:$R$8</xm:f>
          </x14:formula1>
          <xm:sqref>E8</xm:sqref>
        </x14:dataValidation>
        <x14:dataValidation type="list" allowBlank="1" showInputMessage="1" showErrorMessage="1" error="La edad para iniciar Modalidad 40 debe ser igual o mayor a tu edad actual." xr:uid="{5BA9F925-F23D-4953-95F6-C89C6859A850}">
          <x14:formula1>
            <xm:f>'1'!$S$3:$S$14</xm:f>
          </x14:formula1>
          <xm:sqref>F8</xm:sqref>
        </x14:dataValidation>
        <x14:dataValidation type="list" allowBlank="1" showInputMessage="1" showErrorMessage="1" error="La edad para iniciar Modalidad 40 debe ser igual o mayor a tu edad actual." xr:uid="{49448968-1A7F-40A6-8C47-489D1DA1FA0A}">
          <x14:formula1>
            <xm:f>'1'!$L$3:$L$24</xm:f>
          </x14:formula1>
          <xm:sqref>E5</xm:sqref>
        </x14:dataValidation>
        <x14:dataValidation type="list" allowBlank="1" showInputMessage="1" showErrorMessage="1" xr:uid="{420ACDCC-B63E-44DB-A011-E29C4C983FD1}">
          <x14:formula1>
            <xm:f>'1'!$N$5:$N$26</xm:f>
          </x14:formula1>
          <xm:sqref>L4 L11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67A73-4F8C-448F-BCB3-A651A652A786}">
  <sheetPr codeName="Sheet2">
    <tabColor rgb="FFF3BD48"/>
  </sheetPr>
  <dimension ref="B1:M21"/>
  <sheetViews>
    <sheetView showGridLines="0" tabSelected="1" topLeftCell="A3" zoomScale="154" zoomScaleNormal="130" workbookViewId="0">
      <selection activeCell="B16" sqref="B16"/>
    </sheetView>
  </sheetViews>
  <sheetFormatPr baseColWidth="10" defaultColWidth="11.5546875" defaultRowHeight="12"/>
  <cols>
    <col min="1" max="1" width="3.5546875" style="1" customWidth="1"/>
    <col min="2" max="2" width="63.5546875" style="1" customWidth="1"/>
    <col min="3" max="3" width="38.5546875" style="1" customWidth="1"/>
    <col min="4" max="16384" width="11.5546875" style="1"/>
  </cols>
  <sheetData>
    <row r="1" spans="2:13" ht="49.2" customHeight="1" thickTop="1" thickBot="1">
      <c r="B1" s="930" t="s">
        <v>75</v>
      </c>
      <c r="C1" s="931"/>
      <c r="D1" s="5"/>
      <c r="E1" s="5"/>
      <c r="F1" s="5"/>
      <c r="G1" s="2"/>
      <c r="H1" s="3"/>
      <c r="I1" s="5"/>
      <c r="J1" s="5"/>
      <c r="K1" s="5"/>
      <c r="L1" s="5"/>
      <c r="M1" s="5"/>
    </row>
    <row r="2" spans="2:13" ht="16.2" customHeight="1" thickTop="1" thickBot="1">
      <c r="B2" s="932" t="s">
        <v>61</v>
      </c>
      <c r="C2" s="932"/>
      <c r="H2" s="2"/>
      <c r="I2" s="3"/>
    </row>
    <row r="3" spans="2:13" ht="18.75" customHeight="1" thickBot="1">
      <c r="B3" s="149" t="s">
        <v>0</v>
      </c>
      <c r="C3" s="150" t="str">
        <f>'DATOS GEN.'!E3</f>
        <v>ESCOBAR LOPEZ LUIS ADAN</v>
      </c>
      <c r="D3" s="5"/>
      <c r="E3" s="5"/>
      <c r="F3" s="5"/>
      <c r="G3" s="2"/>
      <c r="H3" s="3"/>
      <c r="I3" s="5"/>
      <c r="J3" s="5"/>
      <c r="K3" s="5"/>
      <c r="L3" s="5"/>
      <c r="M3" s="5"/>
    </row>
    <row r="4" spans="2:13" ht="19.2" customHeight="1">
      <c r="B4" s="142" t="s">
        <v>88</v>
      </c>
      <c r="C4" s="334">
        <f ca="1">YEARFRAC('SAL. PROM MOD 40'!C22,'DATOS GEN.'!E5)</f>
        <v>61</v>
      </c>
      <c r="D4" s="7"/>
      <c r="E4" s="5"/>
      <c r="F4" s="5"/>
      <c r="G4" s="2"/>
      <c r="H4" s="3"/>
      <c r="I4" s="5"/>
      <c r="J4" s="5"/>
      <c r="K4" s="5"/>
      <c r="L4" s="5"/>
      <c r="M4" s="5"/>
    </row>
    <row r="5" spans="2:13" ht="21" customHeight="1">
      <c r="B5" s="143" t="s">
        <v>123</v>
      </c>
      <c r="C5" s="144">
        <f ca="1">'SAL. PROM MOD 40'!C22</f>
        <v>47514</v>
      </c>
      <c r="D5" s="7"/>
      <c r="E5" s="5"/>
      <c r="F5" s="5"/>
      <c r="G5" s="2"/>
      <c r="H5" s="3"/>
      <c r="I5" s="5"/>
      <c r="J5" s="5"/>
      <c r="K5" s="5"/>
      <c r="L5" s="5"/>
      <c r="M5" s="5"/>
    </row>
    <row r="6" spans="2:13" ht="21.75" customHeight="1">
      <c r="B6" s="143" t="s">
        <v>89</v>
      </c>
      <c r="C6" s="145">
        <f>+IF('DATOS GEN.'!E9="SI",'DATOS GEN.'!E7+'DATOS GEN.'!E8+('SAL. PROM MOD 40'!E5+'SAL. PROM MOD 40'!F5*(1/12)-'DATOS GEN.'!E14)*52,+'DATOS GEN.'!E7+'DATOS GEN.'!E8)</f>
        <v>1960</v>
      </c>
      <c r="D6" s="7"/>
      <c r="E6" s="5"/>
      <c r="F6" s="5"/>
      <c r="G6" s="2"/>
      <c r="H6" s="3"/>
      <c r="I6" s="5"/>
      <c r="J6" s="5"/>
      <c r="K6" s="5"/>
      <c r="L6" s="5"/>
      <c r="M6" s="5"/>
    </row>
    <row r="7" spans="2:13" ht="21" customHeight="1">
      <c r="B7" s="146" t="s">
        <v>90</v>
      </c>
      <c r="C7" s="145">
        <f ca="1">+'SAL. PROM MOD 40'!E22</f>
        <v>52.142857142857146</v>
      </c>
      <c r="D7" s="929"/>
      <c r="E7" s="929"/>
      <c r="F7" s="929"/>
      <c r="G7" s="929"/>
      <c r="H7" s="929"/>
      <c r="I7" s="929"/>
      <c r="J7" s="929"/>
      <c r="K7" s="929"/>
      <c r="L7" s="929"/>
      <c r="M7" s="929"/>
    </row>
    <row r="8" spans="2:13" ht="21" customHeight="1">
      <c r="B8" s="146" t="s">
        <v>10</v>
      </c>
      <c r="C8" s="145" t="str">
        <f>+'DATOS GEN.'!E10</f>
        <v>SI</v>
      </c>
      <c r="D8" s="928"/>
      <c r="E8" s="928"/>
      <c r="F8" s="928"/>
      <c r="G8" s="5"/>
      <c r="H8" s="5"/>
      <c r="I8" s="5"/>
      <c r="J8" s="5"/>
      <c r="K8" s="5"/>
      <c r="L8" s="5"/>
      <c r="M8" s="5"/>
    </row>
    <row r="9" spans="2:13" ht="21" customHeight="1">
      <c r="B9" s="146" t="s">
        <v>3</v>
      </c>
      <c r="C9" s="145">
        <f>+'DATOS GEN.'!E11</f>
        <v>1</v>
      </c>
      <c r="D9" s="4"/>
      <c r="E9" s="4"/>
      <c r="F9" s="4"/>
      <c r="G9" s="5"/>
      <c r="H9" s="5"/>
      <c r="I9" s="5"/>
      <c r="J9" s="5"/>
      <c r="K9" s="5"/>
      <c r="L9" s="5"/>
      <c r="M9" s="5"/>
    </row>
    <row r="10" spans="2:13" ht="21" customHeight="1" thickBot="1">
      <c r="B10" s="147" t="s">
        <v>14</v>
      </c>
      <c r="C10" s="148">
        <f>+'DATOS GEN.'!E12</f>
        <v>0</v>
      </c>
      <c r="D10" s="928"/>
      <c r="E10" s="928"/>
      <c r="F10" s="928"/>
      <c r="G10" s="5"/>
      <c r="H10" s="5"/>
      <c r="I10" s="5"/>
      <c r="J10" s="5"/>
      <c r="K10" s="5"/>
      <c r="L10" s="5"/>
      <c r="M10" s="5"/>
    </row>
    <row r="11" spans="2:13" ht="4.95" customHeight="1" thickBot="1"/>
    <row r="12" spans="2:13" ht="40.200000000000003" customHeight="1" thickTop="1" thickBot="1">
      <c r="B12" s="133" t="s">
        <v>16</v>
      </c>
      <c r="C12" s="134">
        <f ca="1">IF(C4&lt;60,60,IF(MOD(C4,1)&lt;0.5001, FLOOR(C4,1), CEILING(C4,1)))</f>
        <v>61</v>
      </c>
      <c r="D12" s="5"/>
      <c r="E12" s="5"/>
      <c r="F12" s="5"/>
      <c r="G12" s="5"/>
      <c r="H12" s="5"/>
      <c r="I12" s="5"/>
    </row>
    <row r="13" spans="2:13" ht="6" customHeight="1" thickTop="1" thickBot="1">
      <c r="B13" s="9"/>
      <c r="C13" s="10"/>
      <c r="D13" s="2"/>
      <c r="E13" s="3"/>
      <c r="F13" s="5"/>
      <c r="G13" s="5"/>
      <c r="H13" s="5"/>
      <c r="I13" s="5"/>
    </row>
    <row r="14" spans="2:13" ht="40.200000000000003" customHeight="1" thickTop="1" thickBot="1">
      <c r="B14" s="133" t="s">
        <v>136</v>
      </c>
      <c r="C14" s="135">
        <f ca="1">'SAL. PROM MOD 40'!E19</f>
        <v>2582.2906045024106</v>
      </c>
      <c r="D14" s="8"/>
      <c r="E14" s="5"/>
      <c r="F14" s="5"/>
      <c r="G14" s="5"/>
      <c r="H14" s="5"/>
      <c r="I14" s="5"/>
    </row>
    <row r="15" spans="2:13" ht="6" customHeight="1" thickTop="1" thickBot="1">
      <c r="B15" s="9"/>
      <c r="C15" s="10"/>
      <c r="D15" s="2"/>
      <c r="E15" s="3"/>
      <c r="F15" s="5"/>
      <c r="G15" s="5"/>
      <c r="H15" s="5"/>
      <c r="I15" s="5"/>
    </row>
    <row r="16" spans="2:13" ht="40.200000000000003" customHeight="1" thickTop="1" thickBot="1">
      <c r="B16" s="133" t="s">
        <v>109</v>
      </c>
      <c r="C16" s="136">
        <f ca="1">+C6+C7</f>
        <v>2012.1428571428571</v>
      </c>
      <c r="D16" s="8"/>
      <c r="E16" s="5"/>
      <c r="F16" s="5"/>
      <c r="G16" s="5"/>
      <c r="H16" s="5"/>
      <c r="I16" s="5"/>
    </row>
    <row r="17" spans="2:9" ht="13.2" customHeight="1" thickTop="1">
      <c r="B17" s="58" t="s">
        <v>24</v>
      </c>
      <c r="C17" s="58"/>
    </row>
    <row r="18" spans="2:9" ht="25.5" customHeight="1">
      <c r="B18" s="857" t="s">
        <v>25</v>
      </c>
      <c r="C18" s="857"/>
      <c r="D18" s="59"/>
      <c r="E18" s="5"/>
      <c r="F18" s="5"/>
      <c r="G18" s="5"/>
      <c r="H18" s="5"/>
      <c r="I18" s="5"/>
    </row>
    <row r="19" spans="2:9" ht="13.2" customHeight="1">
      <c r="B19" s="868" t="s">
        <v>17</v>
      </c>
      <c r="C19" s="868"/>
      <c r="D19" s="58"/>
    </row>
    <row r="20" spans="2:9" ht="13.2" customHeight="1">
      <c r="B20" s="868" t="s">
        <v>27</v>
      </c>
      <c r="C20" s="868"/>
    </row>
    <row r="21" spans="2:9">
      <c r="B21" s="933" t="s">
        <v>18</v>
      </c>
      <c r="C21" s="868"/>
    </row>
  </sheetData>
  <sheetProtection algorithmName="SHA-512" hashValue="bn/ztBXjoS0BYEIyzjk4Zm9g+l03+4UR6VUAhGzohShGRqOMIgSpSoEgDDUmNdBwspfI8ofQUaOVpJXL1Xw8dw==" saltValue="8c64Jxw4T1/A9zvSlWg1cw==" spinCount="100000" sheet="1" objects="1" scenarios="1"/>
  <mergeCells count="9">
    <mergeCell ref="D8:F8"/>
    <mergeCell ref="D7:M7"/>
    <mergeCell ref="B1:C1"/>
    <mergeCell ref="B2:C2"/>
    <mergeCell ref="B21:C21"/>
    <mergeCell ref="B20:C20"/>
    <mergeCell ref="B18:C18"/>
    <mergeCell ref="B19:C19"/>
    <mergeCell ref="D10:F10"/>
  </mergeCells>
  <pageMargins left="0.70866141732283472" right="0.70866141732283472" top="0.74803149606299213" bottom="0.74803149606299213" header="0.31496062992125984" footer="0.31496062992125984"/>
  <pageSetup scale="85" orientation="landscape"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FB55-01B7-4BC7-AE5F-0804244FC00F}">
  <sheetPr codeName="Sheet4">
    <tabColor rgb="FFF3BD48"/>
  </sheetPr>
  <dimension ref="A1:AK94"/>
  <sheetViews>
    <sheetView showGridLines="0" zoomScale="77" zoomScaleNormal="160" workbookViewId="0">
      <selection activeCell="C5" sqref="C5"/>
    </sheetView>
  </sheetViews>
  <sheetFormatPr baseColWidth="10" defaultColWidth="11.44140625" defaultRowHeight="21"/>
  <cols>
    <col min="1" max="1" width="4.33203125" style="20" customWidth="1"/>
    <col min="2" max="2" width="61.5546875" style="20" customWidth="1"/>
    <col min="3" max="3" width="45.77734375" style="20" customWidth="1"/>
    <col min="4" max="4" width="13.33203125" style="22" hidden="1" customWidth="1"/>
    <col min="5" max="5" width="13.33203125" style="20" hidden="1" customWidth="1"/>
    <col min="6" max="6" width="13.33203125" style="22" hidden="1" customWidth="1"/>
    <col min="7" max="7" width="25.77734375" style="22" customWidth="1"/>
    <col min="8" max="8" width="13.33203125" style="22" customWidth="1"/>
    <col min="9" max="9" width="12.21875" style="22" customWidth="1"/>
    <col min="10" max="33" width="11.44140625" style="22"/>
    <col min="34" max="16384" width="11.44140625" style="20"/>
  </cols>
  <sheetData>
    <row r="1" spans="1:37" ht="51.75" customHeight="1">
      <c r="B1" s="866" t="s">
        <v>46</v>
      </c>
      <c r="C1" s="867"/>
      <c r="D1" s="21"/>
      <c r="E1" s="21"/>
      <c r="F1" s="939" t="s">
        <v>134</v>
      </c>
      <c r="G1" s="939"/>
      <c r="J1" s="20"/>
      <c r="AH1" s="22"/>
    </row>
    <row r="2" spans="1:37" s="23" customFormat="1" ht="34.950000000000003" customHeight="1" thickBot="1">
      <c r="B2" s="945" t="s">
        <v>11</v>
      </c>
      <c r="C2" s="945"/>
      <c r="D2" s="24"/>
      <c r="E2" s="24"/>
      <c r="F2" s="940"/>
      <c r="G2" s="940"/>
      <c r="H2" s="24"/>
      <c r="I2" s="24"/>
      <c r="J2" s="24"/>
      <c r="K2" s="24"/>
      <c r="L2" s="24"/>
      <c r="M2" s="24"/>
      <c r="N2" s="24"/>
      <c r="O2" s="24"/>
      <c r="P2" s="24"/>
      <c r="Q2" s="24"/>
      <c r="R2" s="24"/>
      <c r="S2" s="24"/>
      <c r="T2" s="24"/>
      <c r="U2" s="24"/>
      <c r="V2" s="24"/>
      <c r="W2" s="24"/>
      <c r="X2" s="24"/>
      <c r="Y2" s="24"/>
      <c r="Z2" s="24"/>
      <c r="AA2" s="24"/>
      <c r="AB2" s="24"/>
      <c r="AC2" s="24"/>
      <c r="AD2" s="24"/>
    </row>
    <row r="3" spans="1:37" ht="24" customHeight="1" thickBot="1">
      <c r="B3" s="872" t="s">
        <v>12</v>
      </c>
      <c r="C3" s="873"/>
      <c r="E3" s="22"/>
      <c r="F3" s="936" t="s">
        <v>97</v>
      </c>
      <c r="G3" s="937"/>
    </row>
    <row r="4" spans="1:37" ht="21" customHeight="1" thickBot="1">
      <c r="B4" s="119" t="s">
        <v>124</v>
      </c>
      <c r="C4" s="141">
        <f ca="1">+'SAL. PROM MOD 40'!E19</f>
        <v>2582.2906045024106</v>
      </c>
      <c r="E4" s="22"/>
      <c r="F4" s="25" t="s">
        <v>95</v>
      </c>
      <c r="G4" s="153">
        <f ca="1">YEAR('SAL. PROM MOD 40'!C22)</f>
        <v>2030</v>
      </c>
    </row>
    <row r="5" spans="1:37" ht="21" customHeight="1">
      <c r="B5" s="85" t="s">
        <v>99</v>
      </c>
      <c r="C5" s="89">
        <f ca="1">+'SAL. PROM MOD 40'!E16</f>
        <v>133.87019812374999</v>
      </c>
      <c r="D5" s="941" t="s">
        <v>83</v>
      </c>
      <c r="E5" s="22"/>
      <c r="F5" s="26" t="s">
        <v>91</v>
      </c>
      <c r="G5" s="35">
        <f ca="1">VLOOKUP(G4,'1'!N3:O29,2,FALSE)</f>
        <v>139.89435703931872</v>
      </c>
    </row>
    <row r="6" spans="1:37" ht="21" customHeight="1" thickBot="1">
      <c r="B6" s="120" t="s">
        <v>100</v>
      </c>
      <c r="C6" s="174">
        <f ca="1">$G$6</f>
        <v>393.24720813343492</v>
      </c>
      <c r="D6" s="942"/>
      <c r="E6" s="22"/>
      <c r="F6" s="27" t="s">
        <v>94</v>
      </c>
      <c r="G6" s="80">
        <f ca="1">VLOOKUP(G4,'1'!N3:P29,3,FALSE)</f>
        <v>393.24720813343492</v>
      </c>
    </row>
    <row r="7" spans="1:37" ht="25.2" customHeight="1" thickBot="1">
      <c r="B7" s="114" t="s">
        <v>28</v>
      </c>
      <c r="C7" s="121">
        <f ca="1">ROUND(C4/C5,2)</f>
        <v>19.29</v>
      </c>
      <c r="D7" s="137"/>
      <c r="E7" s="29"/>
      <c r="F7" s="938" t="s">
        <v>135</v>
      </c>
      <c r="G7" s="938"/>
      <c r="H7" s="31"/>
      <c r="I7" s="28"/>
      <c r="AH7" s="22"/>
      <c r="AI7" s="22"/>
      <c r="AJ7" s="22"/>
      <c r="AK7" s="22"/>
    </row>
    <row r="8" spans="1:37" ht="12" customHeight="1">
      <c r="B8" s="11" t="s">
        <v>128</v>
      </c>
      <c r="C8" s="29"/>
      <c r="D8" s="29"/>
      <c r="E8" s="29"/>
      <c r="F8" s="857"/>
      <c r="G8" s="857"/>
      <c r="H8" s="31"/>
      <c r="I8" s="28"/>
      <c r="AH8" s="22"/>
      <c r="AI8" s="22"/>
      <c r="AJ8" s="22"/>
      <c r="AK8" s="22"/>
    </row>
    <row r="9" spans="1:37" ht="12" customHeight="1">
      <c r="B9" s="11" t="s">
        <v>129</v>
      </c>
      <c r="C9" s="29"/>
      <c r="D9" s="29"/>
      <c r="E9" s="29"/>
      <c r="F9" s="29"/>
      <c r="G9" s="30"/>
      <c r="H9" s="31"/>
      <c r="I9" s="28"/>
      <c r="AH9" s="22"/>
      <c r="AI9" s="22"/>
      <c r="AJ9" s="22"/>
      <c r="AK9" s="22"/>
    </row>
    <row r="10" spans="1:37" s="6" customFormat="1" ht="15" customHeight="1" thickBot="1">
      <c r="A10" s="20"/>
      <c r="B10" s="11" t="s">
        <v>29</v>
      </c>
      <c r="C10" s="29"/>
    </row>
    <row r="11" spans="1:37" ht="24" customHeight="1" thickBot="1">
      <c r="B11" s="864" t="s">
        <v>35</v>
      </c>
      <c r="C11" s="865"/>
      <c r="E11" s="22"/>
    </row>
    <row r="12" spans="1:37" ht="21" customHeight="1">
      <c r="B12" s="87" t="s">
        <v>31</v>
      </c>
      <c r="C12" s="91">
        <f ca="1">VLOOKUP(C7,'1'!A3:D24,3,TRUE)</f>
        <v>0.13</v>
      </c>
      <c r="E12" s="22"/>
    </row>
    <row r="13" spans="1:37" ht="21" customHeight="1">
      <c r="B13" s="85" t="s">
        <v>32</v>
      </c>
      <c r="C13" s="89">
        <f ca="1">$C$4*$C$12</f>
        <v>335.69777858531342</v>
      </c>
      <c r="E13" s="22"/>
    </row>
    <row r="14" spans="1:37" ht="21" customHeight="1" thickBot="1">
      <c r="B14" s="86" t="s">
        <v>37</v>
      </c>
      <c r="C14" s="90">
        <v>365</v>
      </c>
      <c r="E14" s="22"/>
      <c r="H14" s="32"/>
    </row>
    <row r="15" spans="1:37" ht="25.2" customHeight="1" thickBot="1">
      <c r="B15" s="114" t="s">
        <v>9</v>
      </c>
      <c r="C15" s="115">
        <f ca="1">C13*C14*1.11</f>
        <v>136007.95499383972</v>
      </c>
      <c r="D15" s="33"/>
      <c r="E15" s="33"/>
      <c r="F15" s="33"/>
      <c r="G15" s="34"/>
      <c r="H15" s="20"/>
      <c r="L15" s="32"/>
      <c r="AH15" s="22"/>
      <c r="AI15" s="22"/>
      <c r="AJ15" s="22"/>
      <c r="AK15" s="22"/>
    </row>
    <row r="16" spans="1:37" ht="24" customHeight="1">
      <c r="B16" s="944" t="s">
        <v>33</v>
      </c>
      <c r="C16" s="944"/>
      <c r="D16" s="33"/>
      <c r="E16" s="33"/>
      <c r="F16" s="33"/>
      <c r="G16" s="34"/>
      <c r="H16" s="20"/>
      <c r="L16" s="32"/>
      <c r="AH16" s="22"/>
      <c r="AI16" s="22"/>
      <c r="AJ16" s="22"/>
      <c r="AK16" s="22"/>
    </row>
    <row r="17" spans="1:37" ht="22.95" customHeight="1">
      <c r="B17" s="857" t="s">
        <v>34</v>
      </c>
      <c r="C17" s="857"/>
      <c r="D17" s="33"/>
      <c r="E17" s="33"/>
      <c r="F17" s="33"/>
      <c r="G17" s="34"/>
      <c r="H17" s="20"/>
      <c r="L17" s="32"/>
      <c r="AH17" s="22"/>
      <c r="AI17" s="22"/>
      <c r="AJ17" s="22"/>
      <c r="AK17" s="22"/>
    </row>
    <row r="18" spans="1:37" ht="12" customHeight="1" thickBot="1">
      <c r="B18" s="943" t="s">
        <v>36</v>
      </c>
      <c r="C18" s="943"/>
      <c r="D18" s="33"/>
      <c r="E18" s="33"/>
      <c r="F18" s="33"/>
      <c r="G18" s="34"/>
      <c r="H18" s="20"/>
      <c r="L18" s="32"/>
      <c r="AH18" s="22"/>
      <c r="AI18" s="22"/>
      <c r="AJ18" s="22"/>
      <c r="AK18" s="22"/>
    </row>
    <row r="19" spans="1:37" ht="24" customHeight="1" thickBot="1">
      <c r="B19" s="864" t="s">
        <v>13</v>
      </c>
      <c r="C19" s="865"/>
      <c r="E19" s="22"/>
      <c r="G19" s="20"/>
    </row>
    <row r="20" spans="1:37" ht="21" customHeight="1">
      <c r="B20" s="87" t="s">
        <v>39</v>
      </c>
      <c r="C20" s="96">
        <f ca="1">VLOOKUP(C7,'1'!A3:D24,4,TRUE)</f>
        <v>2.4500000000000001E-2</v>
      </c>
      <c r="E20" s="22"/>
    </row>
    <row r="21" spans="1:37" ht="21" customHeight="1">
      <c r="B21" s="85" t="s">
        <v>40</v>
      </c>
      <c r="C21" s="89">
        <f ca="1">$C$4*$C$20</f>
        <v>63.266119810309064</v>
      </c>
      <c r="E21" s="22"/>
    </row>
    <row r="22" spans="1:37" ht="21" customHeight="1">
      <c r="B22" s="85" t="s">
        <v>37</v>
      </c>
      <c r="C22" s="92">
        <v>365</v>
      </c>
      <c r="E22" s="22"/>
    </row>
    <row r="23" spans="1:37" ht="21" customHeight="1">
      <c r="B23" s="85" t="s">
        <v>1</v>
      </c>
      <c r="C23" s="93">
        <f ca="1">$C$21*$C$22</f>
        <v>23092.133730762809</v>
      </c>
      <c r="E23" s="22"/>
    </row>
    <row r="24" spans="1:37" ht="21" customHeight="1">
      <c r="B24" s="85" t="s">
        <v>41</v>
      </c>
      <c r="C24" s="94">
        <f ca="1">('DATOS GEN. MOD 40'!C16-500)/52</f>
        <v>29.079670329670328</v>
      </c>
      <c r="E24" s="22"/>
    </row>
    <row r="25" spans="1:37" ht="21" customHeight="1" thickBot="1">
      <c r="B25" s="86" t="s">
        <v>38</v>
      </c>
      <c r="C25" s="95">
        <f ca="1">INT(C24) + IF(MOD(C24,1)&gt;=27/52,1,IF(MOD(C24,1)&gt;=13/52,0.5,0))</f>
        <v>29</v>
      </c>
      <c r="E25" s="22"/>
    </row>
    <row r="26" spans="1:37" ht="25.2" customHeight="1" thickBot="1">
      <c r="B26" s="122" t="s">
        <v>4</v>
      </c>
      <c r="C26" s="115">
        <f ca="1">$C$23*$C$25*1.11</f>
        <v>743335.78479325492</v>
      </c>
      <c r="D26" s="33"/>
      <c r="E26" s="33"/>
      <c r="F26" s="33"/>
      <c r="G26" s="34"/>
      <c r="H26" s="20"/>
      <c r="L26" s="32"/>
      <c r="AH26" s="22"/>
      <c r="AI26" s="22"/>
      <c r="AJ26" s="22"/>
      <c r="AK26" s="22"/>
    </row>
    <row r="27" spans="1:37" ht="23.7" customHeight="1">
      <c r="B27" s="944" t="s">
        <v>43</v>
      </c>
      <c r="C27" s="944"/>
      <c r="D27" s="33"/>
      <c r="E27" s="33"/>
      <c r="F27" s="33"/>
      <c r="G27" s="34"/>
      <c r="H27" s="20"/>
      <c r="L27" s="32"/>
      <c r="AH27" s="22"/>
      <c r="AI27" s="22"/>
      <c r="AJ27" s="22"/>
      <c r="AK27" s="22"/>
    </row>
    <row r="28" spans="1:37" ht="23.7" customHeight="1">
      <c r="B28" s="857" t="s">
        <v>44</v>
      </c>
      <c r="C28" s="857"/>
      <c r="D28" s="33"/>
      <c r="E28" s="33"/>
      <c r="F28" s="33"/>
      <c r="G28" s="34"/>
      <c r="H28" s="20"/>
      <c r="L28" s="32"/>
      <c r="AH28" s="22"/>
      <c r="AI28" s="22"/>
      <c r="AJ28" s="22"/>
      <c r="AK28" s="22"/>
    </row>
    <row r="29" spans="1:37" s="28" customFormat="1" ht="23.7" customHeight="1" thickBot="1">
      <c r="A29" s="20"/>
      <c r="B29" s="934" t="s">
        <v>42</v>
      </c>
      <c r="C29" s="934"/>
      <c r="D29" s="22"/>
      <c r="E29" s="22"/>
      <c r="F29" s="22"/>
      <c r="G29" s="22"/>
      <c r="I29" s="22"/>
      <c r="J29" s="22"/>
      <c r="K29" s="22"/>
    </row>
    <row r="30" spans="1:37" s="28" customFormat="1" ht="32.700000000000003" customHeight="1" thickTop="1" thickBot="1">
      <c r="B30" s="36" t="s">
        <v>446</v>
      </c>
      <c r="C30" s="37">
        <f ca="1">+$C$26+$C$15</f>
        <v>879343.73978709464</v>
      </c>
      <c r="D30" s="22"/>
      <c r="E30" s="22"/>
      <c r="F30" s="22"/>
      <c r="G30" s="34"/>
      <c r="I30" s="22"/>
      <c r="J30" s="22"/>
      <c r="K30" s="22"/>
    </row>
    <row r="31" spans="1:37" s="38" customFormat="1" ht="12" customHeight="1" thickTop="1">
      <c r="A31" s="28"/>
      <c r="B31" s="935" t="s">
        <v>45</v>
      </c>
      <c r="C31" s="935"/>
    </row>
    <row r="32" spans="1:37" s="39" customFormat="1" ht="24.45" customHeight="1" thickBot="1">
      <c r="B32" s="945" t="s">
        <v>111</v>
      </c>
      <c r="C32" s="945"/>
    </row>
    <row r="33" spans="2:7" s="38" customFormat="1" ht="24" customHeight="1" thickBot="1">
      <c r="B33" s="872" t="s">
        <v>104</v>
      </c>
      <c r="C33" s="873"/>
    </row>
    <row r="34" spans="2:7" s="38" customFormat="1" ht="21.75" customHeight="1">
      <c r="B34" s="97" t="s">
        <v>5</v>
      </c>
      <c r="C34" s="98">
        <f ca="1">+C30/1.11</f>
        <v>792201.56737576087</v>
      </c>
    </row>
    <row r="35" spans="2:7" s="38" customFormat="1" ht="21.75" customHeight="1" thickBot="1">
      <c r="B35" s="99" t="s">
        <v>54</v>
      </c>
      <c r="C35" s="100">
        <v>0.15</v>
      </c>
    </row>
    <row r="36" spans="2:7" s="38" customFormat="1" ht="25.2" customHeight="1" thickBot="1">
      <c r="B36" s="123" t="s">
        <v>6</v>
      </c>
      <c r="C36" s="115">
        <f ca="1">IF('DATOS GEN. MOD 40'!C8="NO",0,$C$34*$C$35)</f>
        <v>118830.23510636413</v>
      </c>
    </row>
    <row r="37" spans="2:7" s="38" customFormat="1" ht="22.95" customHeight="1">
      <c r="B37" s="857" t="s">
        <v>47</v>
      </c>
      <c r="C37" s="857"/>
      <c r="D37" s="40"/>
      <c r="E37" s="40"/>
      <c r="F37" s="40"/>
      <c r="G37" s="41"/>
    </row>
    <row r="38" spans="2:7" s="38" customFormat="1" ht="23.7" customHeight="1" thickBot="1">
      <c r="B38" s="857" t="s">
        <v>126</v>
      </c>
      <c r="C38" s="857"/>
      <c r="D38" s="40"/>
      <c r="E38" s="40"/>
      <c r="F38" s="40"/>
      <c r="G38" s="41"/>
    </row>
    <row r="39" spans="2:7" s="38" customFormat="1" ht="27" customHeight="1" thickBot="1">
      <c r="B39" s="872" t="s">
        <v>103</v>
      </c>
      <c r="C39" s="873"/>
    </row>
    <row r="40" spans="2:7" s="38" customFormat="1" ht="21" customHeight="1">
      <c r="B40" s="101" t="s">
        <v>5</v>
      </c>
      <c r="C40" s="102">
        <f ca="1">+C30/1.11</f>
        <v>792201.56737576087</v>
      </c>
    </row>
    <row r="41" spans="2:7" s="38" customFormat="1" ht="21.75" customHeight="1">
      <c r="B41" s="103" t="s">
        <v>102</v>
      </c>
      <c r="C41" s="104">
        <v>0.1</v>
      </c>
    </row>
    <row r="42" spans="2:7" s="38" customFormat="1" ht="21.75" customHeight="1" thickBot="1">
      <c r="B42" s="105" t="s">
        <v>7</v>
      </c>
      <c r="C42" s="106">
        <f>+'DATOS GEN. MOD 40'!C9</f>
        <v>1</v>
      </c>
    </row>
    <row r="43" spans="2:7" s="38" customFormat="1" ht="25.2" customHeight="1" thickBot="1">
      <c r="B43" s="123" t="s">
        <v>48</v>
      </c>
      <c r="C43" s="115">
        <f ca="1">$C$40*$C$41*$C$42</f>
        <v>79220.156737576093</v>
      </c>
    </row>
    <row r="44" spans="2:7" s="38" customFormat="1" ht="23.7" customHeight="1" thickBot="1">
      <c r="B44" s="857" t="s">
        <v>126</v>
      </c>
      <c r="C44" s="857"/>
      <c r="D44" s="40"/>
      <c r="E44" s="40"/>
      <c r="F44" s="40"/>
      <c r="G44" s="41"/>
    </row>
    <row r="45" spans="2:7" s="38" customFormat="1" ht="27" customHeight="1" thickBot="1">
      <c r="B45" s="872" t="s">
        <v>105</v>
      </c>
      <c r="C45" s="873"/>
    </row>
    <row r="46" spans="2:7" s="38" customFormat="1" ht="21.75" customHeight="1">
      <c r="B46" s="97" t="s">
        <v>5</v>
      </c>
      <c r="C46" s="88">
        <f ca="1">+C30/1.11</f>
        <v>792201.56737576087</v>
      </c>
    </row>
    <row r="47" spans="2:7" s="38" customFormat="1" ht="21.75" customHeight="1">
      <c r="B47" s="107" t="s">
        <v>101</v>
      </c>
      <c r="C47" s="108">
        <v>0.1</v>
      </c>
    </row>
    <row r="48" spans="2:7" s="38" customFormat="1" ht="21.75" customHeight="1" thickBot="1">
      <c r="B48" s="86" t="s">
        <v>49</v>
      </c>
      <c r="C48" s="109">
        <f>+'DATOS GEN. MOD 40'!C10</f>
        <v>0</v>
      </c>
    </row>
    <row r="49" spans="2:7" s="38" customFormat="1" ht="25.2" customHeight="1" thickBot="1">
      <c r="B49" s="110" t="s">
        <v>8</v>
      </c>
      <c r="C49" s="111">
        <f>IF(OR('DATOS GEN.'!$E$10="SI",'DATOS GEN.'!$E$11&gt;0),0,$C$46*$C$47*$C$48)</f>
        <v>0</v>
      </c>
    </row>
    <row r="50" spans="2:7" s="38" customFormat="1" ht="23.7" customHeight="1">
      <c r="B50" s="857" t="s">
        <v>126</v>
      </c>
      <c r="C50" s="857"/>
      <c r="D50" s="40"/>
      <c r="E50" s="40"/>
      <c r="F50" s="40"/>
      <c r="G50" s="41"/>
    </row>
    <row r="51" spans="2:7" s="38" customFormat="1" ht="5.4" customHeight="1" thickBot="1">
      <c r="B51" s="726"/>
      <c r="C51" s="726"/>
      <c r="D51" s="40"/>
      <c r="E51" s="40"/>
      <c r="F51" s="40"/>
      <c r="G51" s="41"/>
    </row>
    <row r="52" spans="2:7" s="38" customFormat="1" ht="27.45" customHeight="1" thickTop="1">
      <c r="B52" s="860" t="s">
        <v>445</v>
      </c>
      <c r="C52" s="861"/>
    </row>
    <row r="53" spans="2:7" s="38" customFormat="1" ht="27.45" customHeight="1" thickBot="1">
      <c r="B53" s="858">
        <f ca="1">(C$36+C$43+C$49)*1.11*'PENSION MOD. 40'!D16</f>
        <v>175868.74795741893</v>
      </c>
      <c r="C53" s="859"/>
    </row>
    <row r="54" spans="2:7" s="38" customFormat="1" ht="24" customHeight="1" thickTop="1">
      <c r="B54" s="862" t="s">
        <v>51</v>
      </c>
      <c r="C54" s="862"/>
      <c r="D54" s="44"/>
      <c r="E54" s="44"/>
      <c r="F54" s="44"/>
      <c r="G54" s="45"/>
    </row>
    <row r="55" spans="2:7" s="38" customFormat="1" ht="5.4" customHeight="1" thickBot="1">
      <c r="B55" s="726"/>
      <c r="C55" s="726"/>
      <c r="D55" s="40"/>
      <c r="E55" s="40"/>
      <c r="F55" s="40"/>
      <c r="G55" s="41"/>
    </row>
    <row r="56" spans="2:7" s="38" customFormat="1" ht="26.55" customHeight="1" thickBot="1">
      <c r="B56" s="864" t="s">
        <v>106</v>
      </c>
      <c r="C56" s="865"/>
    </row>
    <row r="57" spans="2:7" s="38" customFormat="1" ht="21.75" customHeight="1">
      <c r="B57" s="97" t="s">
        <v>5</v>
      </c>
      <c r="C57" s="88">
        <f ca="1">+C30/1.11</f>
        <v>792201.56737576087</v>
      </c>
    </row>
    <row r="58" spans="2:7" s="38" customFormat="1" ht="30.45" customHeight="1" thickBot="1">
      <c r="B58" s="112" t="s">
        <v>112</v>
      </c>
      <c r="C58" s="113">
        <f>+IF(AND('DATOS GEN.'!$E$10="NO",'DATOS GEN.'!$E$11=0,'DATOS GEN.'!$E$12=0),0.15,IF(AND('DATOS GEN.'!E12=1,'DATOS GEN.'!$E$10="NO",'DATOS GEN.'!$E$11=0),0.1,0))</f>
        <v>0</v>
      </c>
    </row>
    <row r="59" spans="2:7" s="38" customFormat="1" ht="25.2" customHeight="1" thickBot="1">
      <c r="B59" s="114" t="s">
        <v>15</v>
      </c>
      <c r="C59" s="115">
        <f ca="1">MIN(C57*C58*1.11*'PENSION MOD. 40'!D16,
MAX(0,G5*25*365-(C30*'PENSION MOD. 40'!D16+B53)),
+C4*365*1.11-(C30*'PENSION MOD. 40'!D16+B53))</f>
        <v>0</v>
      </c>
    </row>
    <row r="60" spans="2:7" s="38" customFormat="1" ht="40.200000000000003" customHeight="1">
      <c r="B60" s="857" t="s">
        <v>127</v>
      </c>
      <c r="C60" s="857"/>
      <c r="D60" s="40"/>
      <c r="E60" s="40"/>
      <c r="F60" s="40"/>
      <c r="G60" s="41"/>
    </row>
    <row r="61" spans="2:7" s="38" customFormat="1" ht="9" customHeight="1" thickBot="1">
      <c r="B61" s="42"/>
      <c r="C61" s="42"/>
      <c r="D61" s="42"/>
      <c r="E61" s="42"/>
      <c r="F61" s="42"/>
      <c r="G61" s="43"/>
    </row>
    <row r="62" spans="2:7" s="38" customFormat="1" ht="27.45" customHeight="1" thickTop="1">
      <c r="B62" s="860" t="s">
        <v>57</v>
      </c>
      <c r="C62" s="861"/>
    </row>
    <row r="63" spans="2:7" s="38" customFormat="1" ht="27.45" customHeight="1" thickBot="1">
      <c r="B63" s="858">
        <f ca="1">C$30+B53+C59</f>
        <v>1055212.4877445137</v>
      </c>
      <c r="C63" s="859"/>
    </row>
    <row r="64" spans="2:7" s="38" customFormat="1" ht="24" customHeight="1" thickTop="1">
      <c r="B64" s="862" t="s">
        <v>51</v>
      </c>
      <c r="C64" s="862"/>
      <c r="D64" s="44"/>
      <c r="E64" s="44"/>
      <c r="F64" s="44"/>
      <c r="G64" s="45"/>
    </row>
    <row r="65" spans="1:37" s="39" customFormat="1" ht="24.45" customHeight="1" thickBot="1">
      <c r="B65" s="863" t="s">
        <v>52</v>
      </c>
      <c r="C65" s="863"/>
    </row>
    <row r="66" spans="1:37" s="38" customFormat="1" ht="27" customHeight="1" thickBot="1">
      <c r="B66" s="864" t="s">
        <v>107</v>
      </c>
      <c r="C66" s="865"/>
    </row>
    <row r="67" spans="1:37" s="38" customFormat="1" ht="21.75" customHeight="1">
      <c r="B67" s="97" t="s">
        <v>56</v>
      </c>
      <c r="C67" s="88">
        <f ca="1">+B63</f>
        <v>1055212.4877445137</v>
      </c>
    </row>
    <row r="68" spans="1:37" s="38" customFormat="1" ht="21" customHeight="1" thickBot="1">
      <c r="B68" s="116" t="s">
        <v>53</v>
      </c>
      <c r="C68" s="117">
        <v>0.11</v>
      </c>
    </row>
    <row r="69" spans="1:37" s="38" customFormat="1" ht="30" customHeight="1" thickBot="1">
      <c r="B69" s="114" t="s">
        <v>55</v>
      </c>
      <c r="C69" s="115">
        <f ca="1">+C67*C68</f>
        <v>116073.3736518965</v>
      </c>
    </row>
    <row r="70" spans="1:37" s="38" customFormat="1" ht="22.5" customHeight="1">
      <c r="B70" s="857" t="s">
        <v>58</v>
      </c>
      <c r="C70" s="857"/>
      <c r="D70" s="44"/>
      <c r="E70" s="44"/>
      <c r="F70" s="44"/>
      <c r="G70" s="45"/>
    </row>
    <row r="71" spans="1:37" s="38" customFormat="1" ht="12" customHeight="1" thickBot="1">
      <c r="B71" s="11"/>
      <c r="C71" s="44"/>
      <c r="D71" s="44"/>
      <c r="E71" s="44"/>
      <c r="F71" s="44"/>
      <c r="G71" s="45"/>
    </row>
    <row r="72" spans="1:37" s="46" customFormat="1" ht="50.7" customHeight="1" thickBot="1">
      <c r="A72" s="38"/>
      <c r="B72" s="118" t="s">
        <v>59</v>
      </c>
      <c r="C72" s="124">
        <f ca="1">+C30*'PENSION MOD. 40'!D16 +C59+B53</f>
        <v>879343.73978709464</v>
      </c>
    </row>
    <row r="73" spans="1:37" ht="16.2" customHeight="1" thickBot="1">
      <c r="B73" s="11"/>
      <c r="C73" s="44"/>
      <c r="D73" s="20"/>
      <c r="F73" s="20"/>
      <c r="G73" s="20"/>
      <c r="H73" s="20"/>
      <c r="AH73" s="22"/>
      <c r="AI73" s="22"/>
      <c r="AJ73" s="22"/>
      <c r="AK73" s="22"/>
    </row>
    <row r="74" spans="1:37" ht="50.7" customHeight="1" thickBot="1">
      <c r="B74" s="118" t="s">
        <v>110</v>
      </c>
      <c r="C74" s="125">
        <f ca="1">+C72/12</f>
        <v>73278.644982257887</v>
      </c>
      <c r="D74" s="20"/>
      <c r="F74" s="20"/>
      <c r="G74" s="20"/>
      <c r="H74" s="20"/>
      <c r="AH74" s="22"/>
      <c r="AI74" s="22"/>
      <c r="AJ74" s="22"/>
      <c r="AK74" s="22"/>
    </row>
    <row r="75" spans="1:37" s="151" customFormat="1" ht="19.2" customHeight="1">
      <c r="B75" s="946" t="s">
        <v>18</v>
      </c>
      <c r="C75" s="947"/>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row>
    <row r="76" spans="1:37">
      <c r="D76" s="20"/>
      <c r="F76" s="20"/>
      <c r="G76" s="20"/>
      <c r="H76" s="20"/>
      <c r="AH76" s="22"/>
      <c r="AI76" s="22"/>
      <c r="AJ76" s="22"/>
      <c r="AK76" s="22"/>
    </row>
    <row r="77" spans="1:37" s="38" customFormat="1" ht="26.55" customHeight="1">
      <c r="E77" s="20"/>
    </row>
    <row r="78" spans="1:37" s="38" customFormat="1" ht="21.75" customHeight="1">
      <c r="E78" s="20"/>
    </row>
    <row r="79" spans="1:37" s="38" customFormat="1" ht="21.75" customHeight="1">
      <c r="E79" s="20"/>
    </row>
    <row r="80" spans="1:37" s="38" customFormat="1" ht="21.75" customHeight="1">
      <c r="E80" s="20"/>
    </row>
    <row r="81" spans="5:5" s="38" customFormat="1" ht="9" customHeight="1">
      <c r="E81" s="20"/>
    </row>
    <row r="82" spans="5:5" s="38" customFormat="1" ht="9" customHeight="1">
      <c r="E82" s="20"/>
    </row>
    <row r="83" spans="5:5" s="38" customFormat="1" ht="21.75" customHeight="1">
      <c r="E83" s="20"/>
    </row>
    <row r="84" spans="5:5" s="38" customFormat="1" ht="12" customHeight="1">
      <c r="E84" s="20"/>
    </row>
    <row r="85" spans="5:5" s="38" customFormat="1" ht="12" customHeight="1">
      <c r="E85" s="20"/>
    </row>
    <row r="86" spans="5:5" s="38" customFormat="1" ht="12" customHeight="1">
      <c r="E86" s="20"/>
    </row>
    <row r="87" spans="5:5" s="38" customFormat="1" ht="9" customHeight="1">
      <c r="E87" s="20"/>
    </row>
    <row r="88" spans="5:5" s="38" customFormat="1" ht="27" customHeight="1">
      <c r="E88" s="20"/>
    </row>
    <row r="89" spans="5:5" s="38" customFormat="1" ht="21" customHeight="1">
      <c r="E89" s="20"/>
    </row>
    <row r="90" spans="5:5" s="38" customFormat="1" ht="21.75" customHeight="1">
      <c r="E90" s="20"/>
    </row>
    <row r="91" spans="5:5" s="38" customFormat="1" ht="12" customHeight="1">
      <c r="E91" s="20"/>
    </row>
    <row r="92" spans="5:5" s="38" customFormat="1" ht="12" customHeight="1">
      <c r="E92" s="20"/>
    </row>
    <row r="93" spans="5:5" s="38" customFormat="1" ht="12" customHeight="1">
      <c r="E93" s="20"/>
    </row>
    <row r="94" spans="5:5" s="46" customFormat="1" ht="15" customHeight="1">
      <c r="E94" s="20"/>
    </row>
  </sheetData>
  <sheetProtection algorithmName="SHA-512" hashValue="9AL3K2tk6Z1Vo5ZKSE+jsL0QJUNNFYC6ZD3GCi0pUEtICypIJVYf+XJ7p6ZjUFeto8ddG+hSs4kOgyQWGC+O+Q==" saltValue="qqdqIBqwjK2uvxiMiBIqWQ==" spinCount="100000" sheet="1" objects="1" scenarios="1"/>
  <protectedRanges>
    <protectedRange sqref="C5:C6" name="Rango1"/>
  </protectedRanges>
  <mergeCells count="36">
    <mergeCell ref="B70:C70"/>
    <mergeCell ref="B75:C75"/>
    <mergeCell ref="B60:C60"/>
    <mergeCell ref="B65:C65"/>
    <mergeCell ref="B64:C64"/>
    <mergeCell ref="B66:C66"/>
    <mergeCell ref="B62:C62"/>
    <mergeCell ref="B63:C63"/>
    <mergeCell ref="B52:C52"/>
    <mergeCell ref="B53:C53"/>
    <mergeCell ref="B54:C54"/>
    <mergeCell ref="B45:C45"/>
    <mergeCell ref="B56:C56"/>
    <mergeCell ref="F1:G2"/>
    <mergeCell ref="D5:D6"/>
    <mergeCell ref="B39:C39"/>
    <mergeCell ref="B17:C17"/>
    <mergeCell ref="B18:C18"/>
    <mergeCell ref="B19:C19"/>
    <mergeCell ref="B27:C27"/>
    <mergeCell ref="B28:C28"/>
    <mergeCell ref="B33:C33"/>
    <mergeCell ref="B37:C37"/>
    <mergeCell ref="B38:C38"/>
    <mergeCell ref="B32:C32"/>
    <mergeCell ref="B3:C3"/>
    <mergeCell ref="B1:C1"/>
    <mergeCell ref="B2:C2"/>
    <mergeCell ref="B16:C16"/>
    <mergeCell ref="B29:C29"/>
    <mergeCell ref="B31:C31"/>
    <mergeCell ref="B44:C44"/>
    <mergeCell ref="B50:C50"/>
    <mergeCell ref="F3:G3"/>
    <mergeCell ref="F7:G8"/>
    <mergeCell ref="B11:C11"/>
  </mergeCells>
  <pageMargins left="0.7" right="0.7" top="0.75" bottom="0.75" header="0.3" footer="0.3"/>
  <pageSetup paperSize="9"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B59B67B-CAC7-491F-8C5E-263AF85F83AC}">
          <x14:formula1>
            <xm:f>'1'!$N$5:$N$26</xm:f>
          </x14:formula1>
          <xm:sqref>G4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A0898-990D-4ED0-8962-25B4B178FFF6}">
  <sheetPr codeName="Sheet5">
    <tabColor rgb="FFF3BD48"/>
  </sheetPr>
  <dimension ref="A1:AA32"/>
  <sheetViews>
    <sheetView topLeftCell="A17" zoomScale="115" zoomScaleNormal="115" workbookViewId="0">
      <selection activeCell="D15" sqref="D15"/>
    </sheetView>
  </sheetViews>
  <sheetFormatPr baseColWidth="10" defaultColWidth="11.5546875" defaultRowHeight="14.4"/>
  <cols>
    <col min="1" max="1" width="2.109375" style="38" customWidth="1"/>
    <col min="2" max="2" width="22.5546875" style="38" customWidth="1"/>
    <col min="3" max="3" width="32.33203125" style="38" customWidth="1"/>
    <col min="4" max="4" width="30.5546875" style="38" customWidth="1"/>
    <col min="5" max="5" width="11.5546875" style="38"/>
    <col min="6" max="6" width="24.5546875" style="38" customWidth="1"/>
    <col min="7" max="7" width="18.5546875" style="38" bestFit="1" customWidth="1"/>
    <col min="8" max="16384" width="11.5546875" style="38"/>
  </cols>
  <sheetData>
    <row r="1" spans="1:27" ht="46.2" customHeight="1">
      <c r="B1" s="958" t="s">
        <v>170</v>
      </c>
      <c r="C1" s="959"/>
      <c r="D1" s="959"/>
      <c r="E1" s="48" t="s">
        <v>2</v>
      </c>
    </row>
    <row r="2" spans="1:27" s="31" customFormat="1" ht="23.7" customHeight="1" thickBot="1">
      <c r="A2" s="21"/>
      <c r="B2" s="960" t="s">
        <v>74</v>
      </c>
      <c r="C2" s="960"/>
      <c r="D2" s="960"/>
      <c r="E2" s="49">
        <v>0.75</v>
      </c>
      <c r="F2" s="28"/>
      <c r="G2" s="28"/>
      <c r="H2" s="28"/>
      <c r="I2" s="28"/>
      <c r="J2" s="28"/>
      <c r="K2" s="28"/>
      <c r="L2" s="28"/>
      <c r="M2" s="28"/>
      <c r="N2" s="28"/>
      <c r="O2" s="28"/>
      <c r="P2" s="28"/>
      <c r="Q2" s="28"/>
      <c r="R2" s="28"/>
      <c r="S2" s="28"/>
      <c r="T2" s="28"/>
      <c r="U2" s="28"/>
      <c r="V2" s="28"/>
      <c r="W2" s="28"/>
      <c r="X2" s="28"/>
      <c r="Y2" s="28"/>
      <c r="Z2" s="28"/>
      <c r="AA2" s="28"/>
    </row>
    <row r="3" spans="1:27" s="46" customFormat="1" ht="34.5" customHeight="1" thickBot="1">
      <c r="B3" s="126" t="s">
        <v>62</v>
      </c>
      <c r="C3" s="127" t="s">
        <v>60</v>
      </c>
      <c r="D3" s="128" t="s">
        <v>108</v>
      </c>
      <c r="E3" s="49">
        <v>0.85</v>
      </c>
    </row>
    <row r="4" spans="1:27" s="46" customFormat="1" ht="19.2" customHeight="1">
      <c r="B4" s="138" t="s">
        <v>63</v>
      </c>
      <c r="C4" s="154">
        <v>65</v>
      </c>
      <c r="D4" s="155">
        <v>1</v>
      </c>
      <c r="E4" s="49">
        <v>0.9</v>
      </c>
    </row>
    <row r="5" spans="1:27" s="46" customFormat="1" ht="19.2" customHeight="1">
      <c r="B5" s="961" t="s">
        <v>64</v>
      </c>
      <c r="C5" s="156">
        <v>64</v>
      </c>
      <c r="D5" s="157">
        <v>0.95</v>
      </c>
      <c r="E5" s="49">
        <v>0.95</v>
      </c>
    </row>
    <row r="6" spans="1:27" s="46" customFormat="1" ht="19.2" customHeight="1">
      <c r="B6" s="961"/>
      <c r="C6" s="156">
        <v>63</v>
      </c>
      <c r="D6" s="157">
        <v>0.9</v>
      </c>
      <c r="E6" s="49">
        <v>1</v>
      </c>
    </row>
    <row r="7" spans="1:27" s="46" customFormat="1" ht="19.2" customHeight="1">
      <c r="B7" s="961"/>
      <c r="C7" s="156">
        <v>62</v>
      </c>
      <c r="D7" s="157">
        <v>0.85</v>
      </c>
      <c r="E7" s="50">
        <v>1</v>
      </c>
    </row>
    <row r="8" spans="1:27" s="46" customFormat="1" ht="19.2" customHeight="1">
      <c r="B8" s="961"/>
      <c r="C8" s="156">
        <v>61</v>
      </c>
      <c r="D8" s="157">
        <v>0.8</v>
      </c>
      <c r="E8" s="50">
        <v>1</v>
      </c>
    </row>
    <row r="9" spans="1:27" s="46" customFormat="1" ht="20.55" customHeight="1" thickBot="1">
      <c r="B9" s="962"/>
      <c r="C9" s="158">
        <v>60</v>
      </c>
      <c r="D9" s="159">
        <v>0.75</v>
      </c>
      <c r="E9" s="50">
        <v>1</v>
      </c>
    </row>
    <row r="10" spans="1:27" s="46" customFormat="1" ht="31.95" customHeight="1">
      <c r="B10" s="954" t="s">
        <v>65</v>
      </c>
      <c r="C10" s="954"/>
      <c r="D10" s="954"/>
      <c r="E10" s="50"/>
    </row>
    <row r="11" spans="1:27" s="31" customFormat="1" ht="22.2" customHeight="1" thickBot="1">
      <c r="A11" s="21"/>
      <c r="B11" s="963" t="s">
        <v>66</v>
      </c>
      <c r="C11" s="963"/>
      <c r="D11" s="963"/>
      <c r="E11" s="49">
        <v>0.75</v>
      </c>
      <c r="F11" s="28"/>
      <c r="G11" s="28"/>
      <c r="H11" s="28"/>
      <c r="I11" s="28"/>
      <c r="J11" s="28"/>
      <c r="K11" s="28"/>
      <c r="L11" s="28"/>
      <c r="M11" s="28"/>
      <c r="N11" s="28"/>
      <c r="O11" s="28"/>
      <c r="P11" s="28"/>
      <c r="Q11" s="28"/>
      <c r="R11" s="28"/>
      <c r="S11" s="28"/>
      <c r="T11" s="28"/>
      <c r="U11" s="28"/>
      <c r="V11" s="28"/>
      <c r="W11" s="28"/>
      <c r="X11" s="28"/>
      <c r="Y11" s="28"/>
      <c r="Z11" s="28"/>
      <c r="AA11" s="28"/>
    </row>
    <row r="12" spans="1:27" s="1" customFormat="1" ht="34.5" customHeight="1" thickBot="1">
      <c r="B12" s="952" t="s">
        <v>73</v>
      </c>
      <c r="C12" s="953"/>
      <c r="D12" s="132">
        <f ca="1">+'FACT. + ASIG. MOD.40'!C30</f>
        <v>879343.73978709464</v>
      </c>
      <c r="E12" s="4"/>
      <c r="F12" s="5"/>
      <c r="G12" s="5"/>
      <c r="H12" s="5"/>
      <c r="I12" s="5"/>
      <c r="J12" s="5"/>
      <c r="K12" s="5"/>
      <c r="L12" s="5"/>
    </row>
    <row r="13" spans="1:27" ht="6" customHeight="1" thickBot="1">
      <c r="B13" s="51"/>
      <c r="C13" s="51"/>
      <c r="D13" s="51"/>
    </row>
    <row r="14" spans="1:27" s="1" customFormat="1" ht="34.5" customHeight="1" thickBot="1">
      <c r="B14" s="952" t="s">
        <v>16</v>
      </c>
      <c r="C14" s="953"/>
      <c r="D14" s="131">
        <f ca="1">+'DATOS GEN. MOD 40'!C12</f>
        <v>61</v>
      </c>
      <c r="E14" s="4"/>
      <c r="F14" s="5"/>
      <c r="G14" s="5"/>
      <c r="H14" s="5"/>
      <c r="I14" s="5"/>
      <c r="J14" s="5"/>
      <c r="K14" s="5"/>
      <c r="L14" s="5"/>
    </row>
    <row r="15" spans="1:27" ht="6" customHeight="1" thickBot="1">
      <c r="B15" s="51"/>
      <c r="C15" s="51"/>
      <c r="D15" s="51"/>
    </row>
    <row r="16" spans="1:27" s="1" customFormat="1" ht="34.5" customHeight="1" thickBot="1">
      <c r="B16" s="952" t="s">
        <v>67</v>
      </c>
      <c r="C16" s="953"/>
      <c r="D16" s="130">
        <f ca="1">IF(D14&gt;=65,1,VLOOKUP(D14,C4:D9,2,FALSE))</f>
        <v>0.8</v>
      </c>
      <c r="E16" s="4"/>
      <c r="F16" s="5"/>
      <c r="G16" s="5"/>
      <c r="H16" s="5"/>
      <c r="I16" s="5"/>
      <c r="J16" s="5"/>
      <c r="K16" s="5"/>
      <c r="L16" s="5"/>
    </row>
    <row r="17" spans="2:4" ht="6" customHeight="1" thickBot="1">
      <c r="B17" s="51"/>
      <c r="C17" s="51"/>
      <c r="D17" s="51"/>
    </row>
    <row r="18" spans="2:4" s="46" customFormat="1" ht="34.5" customHeight="1" thickBot="1">
      <c r="B18" s="952" t="s">
        <v>316</v>
      </c>
      <c r="C18" s="953"/>
      <c r="D18" s="129">
        <f ca="1">'FACT. + ASIG. MOD.40'!C6*365*111%</f>
        <v>159324.10637526118</v>
      </c>
    </row>
    <row r="19" spans="2:4" ht="6" customHeight="1" thickBot="1">
      <c r="B19" s="51"/>
      <c r="C19" s="51"/>
      <c r="D19" s="51"/>
    </row>
    <row r="20" spans="2:4" s="46" customFormat="1" ht="34.5" customHeight="1" thickBot="1">
      <c r="B20" s="952" t="s">
        <v>72</v>
      </c>
      <c r="C20" s="953"/>
      <c r="D20" s="129" t="str">
        <f ca="1">IF(D12*D16&gt;D18,"NO", "SI")</f>
        <v>NO</v>
      </c>
    </row>
    <row r="21" spans="2:4" s="52" customFormat="1" ht="38.700000000000003" customHeight="1" thickBot="1">
      <c r="B21" s="954" t="s">
        <v>68</v>
      </c>
      <c r="C21" s="954"/>
      <c r="D21" s="954"/>
    </row>
    <row r="22" spans="2:4" s="46" customFormat="1" ht="31.2" customHeight="1" thickTop="1">
      <c r="B22" s="955" t="s">
        <v>69</v>
      </c>
      <c r="C22" s="956"/>
      <c r="D22" s="957"/>
    </row>
    <row r="23" spans="2:4" s="46" customFormat="1" ht="31.2" customHeight="1" thickBot="1">
      <c r="B23" s="53"/>
      <c r="C23" s="439">
        <f ca="1">IF(D20="SI",D18, D12*D16+'FACT. + ASIG. MOD.40'!B53+'FACT. + ASIG. MOD.40'!C59)</f>
        <v>879343.73978709464</v>
      </c>
      <c r="D23" s="54"/>
    </row>
    <row r="24" spans="2:4" s="46" customFormat="1" ht="15.6" thickTop="1" thickBot="1">
      <c r="B24" s="55"/>
      <c r="C24" s="56"/>
    </row>
    <row r="25" spans="2:4" s="46" customFormat="1" ht="31.05" customHeight="1" thickTop="1">
      <c r="B25" s="955" t="s">
        <v>70</v>
      </c>
      <c r="C25" s="956"/>
      <c r="D25" s="957"/>
    </row>
    <row r="26" spans="2:4" s="46" customFormat="1" ht="32.700000000000003" customHeight="1" thickBot="1">
      <c r="B26" s="53"/>
      <c r="C26" s="438">
        <f ca="1">+C23/12</f>
        <v>73278.644982257887</v>
      </c>
      <c r="D26" s="54"/>
    </row>
    <row r="27" spans="2:4" s="57" customFormat="1" ht="13.5" customHeight="1" thickTop="1">
      <c r="B27" s="951" t="s">
        <v>71</v>
      </c>
      <c r="C27" s="951"/>
      <c r="D27" s="951"/>
    </row>
    <row r="28" spans="2:4" s="57" customFormat="1" ht="11.25" customHeight="1" thickBot="1">
      <c r="B28" s="857"/>
      <c r="C28" s="857"/>
      <c r="D28" s="857"/>
    </row>
    <row r="29" spans="2:4" s="46" customFormat="1" ht="37.200000000000003" customHeight="1" thickTop="1">
      <c r="B29" s="948" t="s">
        <v>257</v>
      </c>
      <c r="C29" s="949"/>
      <c r="D29" s="950"/>
    </row>
    <row r="30" spans="2:4" s="46" customFormat="1" ht="32.700000000000003" customHeight="1">
      <c r="B30" s="336"/>
      <c r="C30" s="338">
        <f ca="1">IF(MONTH('DATOS GEN. MOD 40'!C5)=1,C26*1.0421,"NO APLICA")</f>
        <v>76363.675936010943</v>
      </c>
      <c r="D30" s="337"/>
    </row>
    <row r="31" spans="2:4" s="46" customFormat="1"/>
    <row r="32" spans="2:4" s="46" customFormat="1"/>
  </sheetData>
  <sheetProtection algorithmName="SHA-512" hashValue="HDq031R7NGNDCd0+ARumZ/c8s9fYzz4EKsSPa7z+T+HiVqPA/sLKBkgtsaEvOa/WrEyBPN3t58TQrar+/2gUQQ==" saltValue="a8HnuDf7OSiQXcsvyd8r9w==" spinCount="100000" sheet="1" objects="1" scenarios="1"/>
  <mergeCells count="16">
    <mergeCell ref="B12:C12"/>
    <mergeCell ref="B14:C14"/>
    <mergeCell ref="B16:C16"/>
    <mergeCell ref="B1:D1"/>
    <mergeCell ref="B2:D2"/>
    <mergeCell ref="B5:B9"/>
    <mergeCell ref="B10:D10"/>
    <mergeCell ref="B11:D11"/>
    <mergeCell ref="B29:D29"/>
    <mergeCell ref="B27:D27"/>
    <mergeCell ref="B28:D28"/>
    <mergeCell ref="B18:C18"/>
    <mergeCell ref="B20:C20"/>
    <mergeCell ref="B21:D21"/>
    <mergeCell ref="B22:D22"/>
    <mergeCell ref="B25:D25"/>
  </mergeCells>
  <conditionalFormatting sqref="B30">
    <cfRule type="expression" dxfId="39" priority="1">
      <formula>$C$30="NO APLICA"</formula>
    </cfRule>
  </conditionalFormatting>
  <conditionalFormatting sqref="B29:D29">
    <cfRule type="expression" dxfId="38" priority="3">
      <formula>$C$30="NO APLICA"</formula>
    </cfRule>
    <cfRule type="expression" dxfId="37" priority="4">
      <formula>ISNUMBER($C$30)</formula>
    </cfRule>
  </conditionalFormatting>
  <conditionalFormatting sqref="C30">
    <cfRule type="expression" dxfId="36" priority="2">
      <formula>ISNUMBER($C$30)</formula>
    </cfRule>
  </conditionalFormatting>
  <conditionalFormatting sqref="C30:D30">
    <cfRule type="expression" dxfId="35" priority="5">
      <formula>$C$30="NO APLICA"</formula>
    </cfRule>
  </conditionalFormatting>
  <pageMargins left="0.7" right="0.7" top="0.75" bottom="0.75" header="0.3" footer="0.3"/>
  <pageSetup fitToHeight="0" orientation="landscape"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DABCC-F912-4D64-969B-214E7D5D77AC}">
  <sheetPr codeName="Hoja12">
    <tabColor rgb="FFF3BD48"/>
    <pageSetUpPr fitToPage="1"/>
  </sheetPr>
  <dimension ref="B1:P20"/>
  <sheetViews>
    <sheetView topLeftCell="C9" zoomScale="110" zoomScaleNormal="115" workbookViewId="0">
      <selection activeCell="G15" sqref="B15:G15"/>
    </sheetView>
  </sheetViews>
  <sheetFormatPr baseColWidth="10" defaultColWidth="9.109375" defaultRowHeight="14.4"/>
  <cols>
    <col min="1" max="1" width="4.5546875" style="38" customWidth="1"/>
    <col min="2" max="2" width="28.5546875" style="38" customWidth="1"/>
    <col min="3" max="3" width="16.5546875" style="38" customWidth="1"/>
    <col min="4" max="5" width="19.44140625" style="38" customWidth="1"/>
    <col min="6" max="6" width="20.77734375" style="60" customWidth="1"/>
    <col min="7" max="7" width="30.5546875" style="60" customWidth="1"/>
    <col min="8" max="8" width="6.44140625" style="38" customWidth="1"/>
    <col min="9" max="9" width="9.109375" style="38" customWidth="1"/>
    <col min="10" max="16384" width="9.109375" style="38"/>
  </cols>
  <sheetData>
    <row r="1" spans="2:16" ht="15" thickBot="1"/>
    <row r="2" spans="2:16" ht="37.5" customHeight="1">
      <c r="B2" s="964" t="s">
        <v>348</v>
      </c>
      <c r="C2" s="965"/>
      <c r="D2" s="965"/>
      <c r="E2" s="965"/>
      <c r="F2" s="965"/>
      <c r="G2" s="966"/>
    </row>
    <row r="3" spans="2:16" ht="45" customHeight="1">
      <c r="B3" s="452" t="s">
        <v>349</v>
      </c>
      <c r="C3" s="453" t="s">
        <v>350</v>
      </c>
      <c r="D3" s="453" t="s">
        <v>351</v>
      </c>
      <c r="E3" s="453" t="s">
        <v>352</v>
      </c>
      <c r="F3" s="453" t="s">
        <v>353</v>
      </c>
      <c r="G3" s="454" t="s">
        <v>354</v>
      </c>
      <c r="J3" s="46"/>
      <c r="K3" s="46"/>
      <c r="L3" s="46"/>
      <c r="M3" s="46"/>
      <c r="N3" s="46"/>
      <c r="O3" s="46"/>
      <c r="P3" s="46"/>
    </row>
    <row r="4" spans="2:16" ht="29.55" customHeight="1">
      <c r="B4" s="455" t="s">
        <v>355</v>
      </c>
      <c r="C4" s="456">
        <f ca="1">IF(E4&gt;0,'SAL. PROM MOD 40'!$E$17,0)</f>
        <v>0</v>
      </c>
      <c r="D4" s="457">
        <v>0.10075000000000001</v>
      </c>
      <c r="E4" s="458">
        <f ca="1">MAX(0,
   MIN('SAL. PROM MOD 40'!$C$22, DATE(2021,12,31))
 - 'SAL. PROM MOD 40'!$B$22
 + 1
)</f>
        <v>0</v>
      </c>
      <c r="F4" s="459">
        <f ca="1">+D4*C4*365/12</f>
        <v>0</v>
      </c>
      <c r="G4" s="460">
        <f t="shared" ref="G4:G14" ca="1" si="0">+D4*E4*C4</f>
        <v>0</v>
      </c>
      <c r="J4" s="46"/>
      <c r="K4" s="46"/>
      <c r="L4" s="46"/>
      <c r="M4" s="46"/>
      <c r="N4" s="46"/>
      <c r="O4" s="46"/>
      <c r="P4" s="46"/>
    </row>
    <row r="5" spans="2:16" ht="29.55" customHeight="1">
      <c r="B5" s="461" t="s">
        <v>356</v>
      </c>
      <c r="C5" s="462">
        <f ca="1">IF(E5&gt;0,'SAL. PROM MOD 40'!$E$17,0)</f>
        <v>0</v>
      </c>
      <c r="D5" s="463">
        <v>0.10075000000000001</v>
      </c>
      <c r="E5" s="464">
        <f ca="1">MAX(0,
   MIN('SAL. PROM MOD 40'!$C$22, DATE(2022,12,31))
 - MAX('SAL. PROM MOD 40'!$B$22, DATE(2022,1,1))
 + 1
)</f>
        <v>0</v>
      </c>
      <c r="F5" s="465">
        <f ca="1">+D5*C5*365/12</f>
        <v>0</v>
      </c>
      <c r="G5" s="466">
        <f t="shared" ca="1" si="0"/>
        <v>0</v>
      </c>
      <c r="J5" s="46"/>
      <c r="K5" s="46"/>
      <c r="L5" s="46"/>
      <c r="M5" s="46"/>
      <c r="N5" s="46"/>
      <c r="O5" s="46"/>
      <c r="P5" s="46"/>
    </row>
    <row r="6" spans="2:16" ht="29.55" customHeight="1">
      <c r="B6" s="467" t="s">
        <v>357</v>
      </c>
      <c r="C6" s="456">
        <f ca="1">IF(E6&gt;0,'SAL. PROM MOD 40'!$E$17,0)</f>
        <v>0</v>
      </c>
      <c r="D6" s="457">
        <v>0.11166</v>
      </c>
      <c r="E6" s="458">
        <f ca="1">MAX(0,
   MIN('SAL. PROM MOD 40'!$C$22, DATE(2023,12,31))
 - MAX('SAL. PROM MOD 40'!$B$22, DATE(2023,1,1))
 + 1
)</f>
        <v>0</v>
      </c>
      <c r="F6" s="459">
        <f ca="1">+D6*C6*365/12</f>
        <v>0</v>
      </c>
      <c r="G6" s="460">
        <f t="shared" ca="1" si="0"/>
        <v>0</v>
      </c>
      <c r="H6" s="449"/>
      <c r="J6" s="46"/>
      <c r="K6" s="46"/>
      <c r="L6" s="46"/>
      <c r="M6" s="46"/>
      <c r="N6" s="46"/>
      <c r="O6" s="46"/>
      <c r="P6" s="46"/>
    </row>
    <row r="7" spans="2:16" ht="29.55" customHeight="1">
      <c r="B7" s="461" t="s">
        <v>358</v>
      </c>
      <c r="C7" s="462">
        <f ca="1">IF(E7&gt;0,'SAL. PROM MOD 40'!$E$17,0)</f>
        <v>0</v>
      </c>
      <c r="D7" s="463">
        <v>0.12256</v>
      </c>
      <c r="E7" s="464">
        <f ca="1">MAX(0,
   MIN('SAL. PROM MOD 40'!$C$22, DATE(2024,12,31))
 - MAX('SAL. PROM MOD 40'!$B$22, DATE(2024,1,1))
 + 1
)</f>
        <v>0</v>
      </c>
      <c r="F7" s="465">
        <f t="shared" ref="F7:F13" ca="1" si="1">+D7*C7*365/12</f>
        <v>0</v>
      </c>
      <c r="G7" s="466">
        <f t="shared" ca="1" si="0"/>
        <v>0</v>
      </c>
      <c r="H7" s="449"/>
      <c r="I7" s="449"/>
      <c r="J7" s="46"/>
      <c r="K7" s="46"/>
      <c r="L7" s="46"/>
      <c r="M7" s="46"/>
      <c r="N7" s="46"/>
      <c r="O7" s="46"/>
      <c r="P7" s="46"/>
    </row>
    <row r="8" spans="2:16" ht="29.55" customHeight="1">
      <c r="B8" s="467" t="s">
        <v>359</v>
      </c>
      <c r="C8" s="456">
        <f ca="1">IF(E8&gt;0,'SAL. PROM MOD 40'!$E$17,0)</f>
        <v>0</v>
      </c>
      <c r="D8" s="457">
        <v>0.13347000000000001</v>
      </c>
      <c r="E8" s="458">
        <f ca="1">MAX(0,
   MIN('SAL. PROM MOD 40'!$C$22, DATE(2025,12,31))
 - MAX('SAL. PROM MOD 40'!$B$22, DATE(2025,1,1))
 + 1
)</f>
        <v>0</v>
      </c>
      <c r="F8" s="459">
        <f t="shared" ca="1" si="1"/>
        <v>0</v>
      </c>
      <c r="G8" s="460">
        <f t="shared" ca="1" si="0"/>
        <v>0</v>
      </c>
      <c r="H8" s="449"/>
      <c r="J8" s="46"/>
      <c r="K8" s="46"/>
      <c r="L8" s="46"/>
      <c r="M8" s="46"/>
      <c r="N8" s="46"/>
      <c r="O8" s="46"/>
      <c r="P8" s="46"/>
    </row>
    <row r="9" spans="2:16" ht="29.55" customHeight="1">
      <c r="B9" s="461" t="s">
        <v>360</v>
      </c>
      <c r="C9" s="462">
        <f ca="1">IF(E9&gt;0,'SAL. PROM MOD 40'!$E$17,0)</f>
        <v>0</v>
      </c>
      <c r="D9" s="463">
        <v>0.14438000000000001</v>
      </c>
      <c r="E9" s="464">
        <f ca="1">MAX(0,
   MIN('SAL. PROM MOD 40'!$C$22, DATE(2026,12,31))
 - MAX('SAL. PROM MOD 40'!$B$22, DATE(2026,1,1))
 + 1
)</f>
        <v>0</v>
      </c>
      <c r="F9" s="465">
        <f t="shared" ca="1" si="1"/>
        <v>0</v>
      </c>
      <c r="G9" s="466">
        <f t="shared" ca="1" si="0"/>
        <v>0</v>
      </c>
      <c r="J9" s="46"/>
      <c r="K9" s="46"/>
      <c r="L9" s="46"/>
      <c r="M9" s="46"/>
      <c r="N9" s="46"/>
      <c r="O9" s="46"/>
      <c r="P9" s="46"/>
    </row>
    <row r="10" spans="2:16" ht="29.55" customHeight="1">
      <c r="B10" s="467" t="s">
        <v>361</v>
      </c>
      <c r="C10" s="456">
        <f ca="1">IF(E10&gt;0,'SAL. PROM MOD 40'!$E$17,0)</f>
        <v>0</v>
      </c>
      <c r="D10" s="457">
        <v>0.15528</v>
      </c>
      <c r="E10" s="458">
        <f ca="1">MAX(0,
   MIN('SAL. PROM MOD 40'!$C$22, DATE(2027,12,31))
 - MAX('SAL. PROM MOD 40'!$B$22, DATE(2027,1,1))
 + 1
)</f>
        <v>0</v>
      </c>
      <c r="F10" s="459">
        <f t="shared" ca="1" si="1"/>
        <v>0</v>
      </c>
      <c r="G10" s="460">
        <f t="shared" ca="1" si="0"/>
        <v>0</v>
      </c>
      <c r="J10" s="46"/>
      <c r="K10" s="46"/>
      <c r="L10" s="46"/>
      <c r="M10" s="46"/>
      <c r="N10" s="46"/>
      <c r="O10" s="46"/>
      <c r="P10" s="46"/>
    </row>
    <row r="11" spans="2:16" ht="29.55" customHeight="1">
      <c r="B11" s="461" t="s">
        <v>362</v>
      </c>
      <c r="C11" s="462">
        <f ca="1">IF(E11&gt;0,'SAL. PROM MOD 40'!$E$17,0)</f>
        <v>0</v>
      </c>
      <c r="D11" s="463">
        <v>0.16619</v>
      </c>
      <c r="E11" s="464">
        <f ca="1">MAX(0,
   MIN('SAL. PROM MOD 40'!$C$22, DATE(2028,12,31))
 - MAX('SAL. PROM MOD 40'!$B$22, DATE(2028,1,1))
 + 1
)</f>
        <v>0</v>
      </c>
      <c r="F11" s="465">
        <f t="shared" ca="1" si="1"/>
        <v>0</v>
      </c>
      <c r="G11" s="466">
        <f t="shared" ca="1" si="0"/>
        <v>0</v>
      </c>
      <c r="J11" s="46"/>
      <c r="K11" s="46"/>
      <c r="L11" s="46"/>
      <c r="M11" s="46"/>
      <c r="N11" s="46"/>
      <c r="O11" s="46"/>
      <c r="P11" s="46"/>
    </row>
    <row r="12" spans="2:16" ht="29.55" customHeight="1">
      <c r="B12" s="467" t="s">
        <v>363</v>
      </c>
      <c r="C12" s="456">
        <f ca="1">IF(E12&gt;0,'SAL. PROM MOD 40'!$E$17,0)</f>
        <v>3346.7549530937495</v>
      </c>
      <c r="D12" s="457">
        <v>0.17709</v>
      </c>
      <c r="E12" s="458">
        <f ca="1">MAX(0,
   MIN('SAL. PROM MOD 40'!$C$22, DATE(2029,12,31))
 - MAX('SAL. PROM MOD 40'!$B$22, DATE(2029,1,1))
 + 1
)</f>
        <v>334</v>
      </c>
      <c r="F12" s="459">
        <f t="shared" ca="1" si="1"/>
        <v>18027.253720402568</v>
      </c>
      <c r="G12" s="460">
        <f t="shared" ca="1" si="0"/>
        <v>197954.06277088629</v>
      </c>
      <c r="J12" s="46"/>
      <c r="K12" s="46"/>
      <c r="L12" s="46"/>
      <c r="M12" s="46"/>
      <c r="N12" s="46"/>
      <c r="O12" s="46"/>
      <c r="P12" s="46"/>
    </row>
    <row r="13" spans="2:16" ht="29.55" customHeight="1">
      <c r="B13" s="461" t="s">
        <v>364</v>
      </c>
      <c r="C13" s="462">
        <f ca="1">IF(E13&gt;0,'SAL. PROM MOD 40'!$E$17,0)</f>
        <v>3346.7549530937495</v>
      </c>
      <c r="D13" s="463">
        <v>0.188</v>
      </c>
      <c r="E13" s="464">
        <f ca="1">MAX(0,
   MIN('SAL. PROM MOD 40'!$C$22, DATE(2030,12,31))
 - MAX('SAL. PROM MOD 40'!$B$22, DATE(2030,1,1))
 + 1
)</f>
        <v>31</v>
      </c>
      <c r="F13" s="465">
        <f t="shared" ca="1" si="1"/>
        <v>19137.860406774427</v>
      </c>
      <c r="G13" s="466">
        <f t="shared" ca="1" si="0"/>
        <v>19504.887866630372</v>
      </c>
      <c r="J13" s="46"/>
      <c r="K13" s="46"/>
      <c r="L13" s="46"/>
      <c r="M13" s="46"/>
      <c r="N13" s="46"/>
      <c r="O13" s="46"/>
      <c r="P13" s="46"/>
    </row>
    <row r="14" spans="2:16" ht="29.55" customHeight="1" thickBot="1">
      <c r="B14" s="468" t="s">
        <v>365</v>
      </c>
      <c r="C14" s="469">
        <f ca="1">IF(E14&gt;0,'SAL. PROM MOD 40'!$E$17,0)</f>
        <v>0</v>
      </c>
      <c r="D14" s="470">
        <v>0.188</v>
      </c>
      <c r="E14" s="471">
        <f ca="1">MAX(0,
   'SAL. PROM MOD 40'!$C$22
 - MAX('SAL. PROM MOD 40'!$B$22, DATE(2031,1,1))
 + 1
)</f>
        <v>0</v>
      </c>
      <c r="F14" s="472">
        <f ca="1">+D14*C14*365/12</f>
        <v>0</v>
      </c>
      <c r="G14" s="473">
        <f t="shared" ca="1" si="0"/>
        <v>0</v>
      </c>
      <c r="J14" s="46"/>
      <c r="K14" s="46"/>
      <c r="L14" s="46"/>
      <c r="M14" s="46"/>
      <c r="N14" s="46"/>
      <c r="O14" s="46"/>
      <c r="P14" s="46"/>
    </row>
    <row r="15" spans="2:16" s="1" customFormat="1" ht="45.45" customHeight="1" thickBot="1">
      <c r="B15" s="967" t="s">
        <v>366</v>
      </c>
      <c r="C15" s="968"/>
      <c r="D15" s="968"/>
      <c r="E15" s="968"/>
      <c r="F15" s="968"/>
      <c r="G15" s="474">
        <f ca="1">SUBTOTAL(9,G4:G14)</f>
        <v>217458.95063751665</v>
      </c>
      <c r="H15" s="5"/>
      <c r="I15" s="5"/>
      <c r="N15" s="475"/>
    </row>
    <row r="16" spans="2:16" ht="3" customHeight="1" thickTop="1">
      <c r="B16" s="476"/>
      <c r="C16" s="476"/>
      <c r="D16" s="476"/>
      <c r="E16" s="476"/>
      <c r="F16" s="477"/>
      <c r="G16" s="478"/>
    </row>
    <row r="17" spans="2:9" s="1" customFormat="1" ht="45.45" customHeight="1" thickBot="1">
      <c r="B17" s="967" t="s">
        <v>153</v>
      </c>
      <c r="C17" s="968"/>
      <c r="D17" s="968"/>
      <c r="E17" s="968"/>
      <c r="F17" s="968"/>
      <c r="G17" s="474">
        <f ca="1">G15*19.85%</f>
        <v>43165.601701547057</v>
      </c>
      <c r="H17" s="5"/>
      <c r="I17" s="5"/>
    </row>
    <row r="18" spans="2:9" ht="3" customHeight="1" thickTop="1">
      <c r="G18" s="479"/>
    </row>
    <row r="19" spans="2:9" s="1" customFormat="1" ht="45.45" customHeight="1" thickBot="1">
      <c r="B19" s="967" t="s">
        <v>367</v>
      </c>
      <c r="C19" s="968"/>
      <c r="D19" s="968"/>
      <c r="E19" s="968"/>
      <c r="F19" s="968"/>
      <c r="G19" s="474">
        <f ca="1">G15-G17</f>
        <v>174293.34893596958</v>
      </c>
      <c r="H19" s="5"/>
      <c r="I19" s="5"/>
    </row>
    <row r="20" spans="2:9" ht="15" thickTop="1"/>
  </sheetData>
  <sheetProtection algorithmName="SHA-512" hashValue="LVaQ0blpESCK4EjgJ7QFSuQyGTtNmq8wL+F/rLznbe0+xtw12JGpl7/CXP779JGH3xwfeWl+23LVKEhIV6DNig==" saltValue="chCjVoL//foiJJuycudluQ==" spinCount="100000" sheet="1" objects="1" scenarios="1"/>
  <protectedRanges>
    <protectedRange sqref="G17" name="Rango2"/>
    <protectedRange sqref="E4:E14" name="Rango1"/>
  </protectedRanges>
  <mergeCells count="4">
    <mergeCell ref="B2:G2"/>
    <mergeCell ref="B15:F15"/>
    <mergeCell ref="B17:F17"/>
    <mergeCell ref="B19:F19"/>
  </mergeCells>
  <pageMargins left="0.25" right="0.25" top="0.25" bottom="0.25" header="0.3" footer="0.3"/>
  <pageSetup scale="62"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FA59B-74B5-4139-8DA1-B99B25116283}">
  <sheetPr codeName="Sheet6">
    <tabColor rgb="FFF3BD48"/>
  </sheetPr>
  <dimension ref="B1:O60"/>
  <sheetViews>
    <sheetView topLeftCell="A32" zoomScale="70" zoomScaleNormal="70" workbookViewId="0">
      <selection activeCell="L49" sqref="K48:L49"/>
    </sheetView>
  </sheetViews>
  <sheetFormatPr baseColWidth="10" defaultColWidth="9.109375" defaultRowHeight="14.4"/>
  <cols>
    <col min="1" max="1" width="3.109375" style="38" customWidth="1"/>
    <col min="2" max="5" width="24.77734375" style="38" customWidth="1"/>
    <col min="6" max="7" width="24.77734375" style="60" customWidth="1"/>
    <col min="8" max="8" width="6.44140625" style="38" customWidth="1"/>
    <col min="9" max="12" width="9.109375" style="38"/>
    <col min="13" max="13" width="10" style="38" bestFit="1" customWidth="1"/>
    <col min="14" max="16384" width="9.109375" style="38"/>
  </cols>
  <sheetData>
    <row r="1" spans="2:9" ht="8.5500000000000007" customHeight="1" thickBot="1"/>
    <row r="2" spans="2:9" s="1" customFormat="1" ht="36" customHeight="1" thickBot="1">
      <c r="B2" s="988" t="s">
        <v>76</v>
      </c>
      <c r="C2" s="989"/>
      <c r="D2" s="989"/>
      <c r="E2" s="989"/>
      <c r="F2" s="989"/>
      <c r="G2" s="990"/>
      <c r="H2" s="5"/>
      <c r="I2" s="5"/>
    </row>
    <row r="3" spans="2:9" s="46" customFormat="1" ht="28.95" customHeight="1">
      <c r="B3" s="991"/>
      <c r="C3" s="992"/>
      <c r="D3" s="993" t="s">
        <v>79</v>
      </c>
      <c r="E3" s="994"/>
      <c r="F3" s="995" t="s">
        <v>80</v>
      </c>
      <c r="G3" s="996"/>
    </row>
    <row r="4" spans="2:9" s="46" customFormat="1" ht="35.549999999999997" customHeight="1">
      <c r="B4" s="997" t="s">
        <v>77</v>
      </c>
      <c r="C4" s="998"/>
      <c r="D4" s="999">
        <f>'DATOS GEN.'!E18</f>
        <v>61</v>
      </c>
      <c r="E4" s="1000"/>
      <c r="F4" s="1001">
        <f ca="1">'DATOS GEN. MOD 40'!C12</f>
        <v>61</v>
      </c>
      <c r="G4" s="1002"/>
    </row>
    <row r="5" spans="2:9" s="46" customFormat="1" ht="57.45" customHeight="1" thickBot="1">
      <c r="B5" s="985" t="s">
        <v>172</v>
      </c>
      <c r="C5" s="986"/>
      <c r="D5" s="987"/>
      <c r="E5" s="986"/>
      <c r="F5" s="983">
        <f ca="1">$F$45-$D$45</f>
        <v>13507.036644068066</v>
      </c>
      <c r="G5" s="984"/>
      <c r="H5" s="63"/>
    </row>
    <row r="6" spans="2:9" s="46" customFormat="1" ht="8.5500000000000007" customHeight="1" thickBot="1">
      <c r="B6" s="62"/>
      <c r="C6" s="62"/>
      <c r="D6" s="62"/>
      <c r="E6" s="62"/>
      <c r="F6" s="61"/>
      <c r="G6" s="61"/>
    </row>
    <row r="7" spans="2:9" s="1" customFormat="1" ht="36" customHeight="1" thickBot="1">
      <c r="B7" s="980" t="s">
        <v>137</v>
      </c>
      <c r="C7" s="981"/>
      <c r="D7" s="981"/>
      <c r="E7" s="981"/>
      <c r="F7" s="981"/>
      <c r="G7" s="982"/>
      <c r="H7" s="5"/>
      <c r="I7" s="5"/>
    </row>
    <row r="8" spans="2:9" ht="28.95" customHeight="1">
      <c r="B8" s="969"/>
      <c r="C8" s="970"/>
      <c r="D8" s="971" t="s">
        <v>79</v>
      </c>
      <c r="E8" s="972"/>
      <c r="F8" s="973" t="s">
        <v>80</v>
      </c>
      <c r="G8" s="974"/>
    </row>
    <row r="9" spans="2:9" s="1" customFormat="1" ht="58.95" customHeight="1" thickBot="1">
      <c r="B9" s="1009" t="s">
        <v>82</v>
      </c>
      <c r="C9" s="1010"/>
      <c r="D9" s="1011" t="s">
        <v>142</v>
      </c>
      <c r="E9" s="1012"/>
      <c r="F9" s="1013">
        <f ca="1">+IF(F5=0,"No se recupera la inversion",ABS('COSTO MOD. 40'!G19/F5))</f>
        <v>12.903892506467331</v>
      </c>
      <c r="G9" s="1014"/>
      <c r="H9" s="5"/>
      <c r="I9" s="5"/>
    </row>
    <row r="10" spans="2:9" ht="58.95" customHeight="1"/>
    <row r="11" spans="2:9" ht="9" customHeight="1">
      <c r="F11" s="180"/>
      <c r="G11" s="180"/>
    </row>
    <row r="14" spans="2:9" ht="41.55" customHeight="1"/>
    <row r="44" spans="2:15" ht="15" thickBot="1"/>
    <row r="45" spans="2:15" ht="70.05" customHeight="1">
      <c r="B45" s="975" t="s">
        <v>248</v>
      </c>
      <c r="C45" s="976"/>
      <c r="D45" s="977">
        <f ca="1">IF(ISNUMBER('PENSIÓN ACTUAL'!C30),'PENSIÓN ACTUAL'!C30,'PENSIÓN ACTUAL'!C22)</f>
        <v>62856.639291942876</v>
      </c>
      <c r="E45" s="977"/>
      <c r="F45" s="978">
        <f ca="1">IF(ISNUMBER('PENSION MOD. 40'!C30),'PENSION MOD. 40'!C30,'PENSION MOD. 40'!C26)</f>
        <v>76363.675936010943</v>
      </c>
      <c r="G45" s="979"/>
    </row>
    <row r="46" spans="2:15" ht="70.05" customHeight="1" thickBot="1">
      <c r="B46" s="1009" t="s">
        <v>222</v>
      </c>
      <c r="C46" s="1010"/>
      <c r="D46" s="1015">
        <f ca="1">((80*13-D4*13)*D45)*1.54</f>
        <v>23909408.453869231</v>
      </c>
      <c r="E46" s="1015"/>
      <c r="F46" s="1015">
        <f ca="1">(+Sheet1!P247+(80-'DATOS GEN. MOD 40'!C12)*F45)*1.54</f>
        <v>28896403.356119987</v>
      </c>
      <c r="G46" s="1016"/>
      <c r="M46" s="279"/>
      <c r="O46" s="296"/>
    </row>
    <row r="47" spans="2:15" ht="12" customHeight="1" thickBot="1"/>
    <row r="48" spans="2:15" ht="37.200000000000003" customHeight="1" thickTop="1" thickBot="1">
      <c r="B48" s="1017" t="s">
        <v>227</v>
      </c>
      <c r="C48" s="1018"/>
      <c r="D48" s="1018"/>
      <c r="E48" s="1018"/>
      <c r="F48" s="1018"/>
      <c r="G48" s="1019"/>
    </row>
    <row r="49" spans="2:7" ht="50.7" customHeight="1" thickTop="1" thickBot="1">
      <c r="B49" s="1022" t="s">
        <v>296</v>
      </c>
      <c r="C49" s="1023"/>
      <c r="D49" s="1020">
        <f ca="1">+F46-D46</f>
        <v>4986994.9022507556</v>
      </c>
      <c r="E49" s="1020"/>
      <c r="F49" s="355"/>
      <c r="G49" s="356"/>
    </row>
    <row r="50" spans="2:7" ht="50.7" customHeight="1" thickTop="1" thickBot="1">
      <c r="B50" s="1022" t="s">
        <v>269</v>
      </c>
      <c r="C50" s="1023"/>
      <c r="D50" s="1021">
        <f ca="1">+INVERSION!D49/'COSTO MOD. 40'!G15</f>
        <v>22.933040408916536</v>
      </c>
      <c r="E50" s="1021"/>
      <c r="F50" s="297"/>
      <c r="G50" s="298"/>
    </row>
    <row r="51" spans="2:7" ht="12" customHeight="1" thickTop="1" thickBot="1"/>
    <row r="52" spans="2:7" s="244" customFormat="1" ht="24" customHeight="1" thickTop="1" thickBot="1">
      <c r="B52" s="1003" t="s">
        <v>152</v>
      </c>
      <c r="C52" s="1004"/>
      <c r="D52" s="1004"/>
      <c r="E52" s="1004"/>
      <c r="F52" s="1004"/>
      <c r="G52" s="1005"/>
    </row>
    <row r="53" spans="2:7" ht="51.45" customHeight="1" thickTop="1" thickBot="1">
      <c r="B53" s="1006" t="str">
        <f ca="1">IF(AND(F9&gt;0,F9&lt;=16),"Excelente Inversión",IF(AND(F9&gt;0,F9&lt;=24),"Buena Inversión",IF(AND(F9&gt;0,F9&lt;=36),"Inversión Aceptable",IF(AND(F9&gt;0,F9&lt;=48),"Riesgo Moderado",IF(AND(F9&gt;0,F9&lt;=60),"¡Riesgo Alto!",IF(AND(F9&gt;0,F9&lt;&gt;72),"¡Ten cuidado!","No lo hagas"))))))</f>
        <v>Excelente Inversión</v>
      </c>
      <c r="C53" s="1007"/>
      <c r="D53" s="1007"/>
      <c r="E53" s="1007"/>
      <c r="F53" s="1007"/>
      <c r="G53" s="1008"/>
    </row>
    <row r="54" spans="2:7" ht="49.95" customHeight="1" thickTop="1">
      <c r="F54" s="38"/>
      <c r="G54" s="38"/>
    </row>
    <row r="55" spans="2:7">
      <c r="F55" s="38"/>
      <c r="G55" s="38"/>
    </row>
    <row r="59" spans="2:7" ht="24.45" customHeight="1">
      <c r="F59" s="38"/>
      <c r="G59" s="38"/>
    </row>
    <row r="60" spans="2:7" ht="43.05" customHeight="1">
      <c r="F60" s="38"/>
      <c r="G60" s="38"/>
    </row>
  </sheetData>
  <sheetProtection algorithmName="SHA-512" hashValue="R+wg7GLZF93SShL19690c7+RezWQTwySoIqwQbzY6lmWm3tfKI3ZvWxGfa72oM5ygcDoItdN/wSwYUHPdCErBw==" saltValue="+MqgZVTFC5Hu4YWwPEbQzw==" spinCount="100000" sheet="1" objects="1" scenarios="1"/>
  <mergeCells count="30">
    <mergeCell ref="B52:G52"/>
    <mergeCell ref="B53:G53"/>
    <mergeCell ref="B9:C9"/>
    <mergeCell ref="D9:E9"/>
    <mergeCell ref="F9:G9"/>
    <mergeCell ref="B46:C46"/>
    <mergeCell ref="D46:E46"/>
    <mergeCell ref="F46:G46"/>
    <mergeCell ref="B48:G48"/>
    <mergeCell ref="D49:E49"/>
    <mergeCell ref="D50:E50"/>
    <mergeCell ref="B49:C49"/>
    <mergeCell ref="B50:C50"/>
    <mergeCell ref="B7:G7"/>
    <mergeCell ref="F5:G5"/>
    <mergeCell ref="B5:C5"/>
    <mergeCell ref="D5:E5"/>
    <mergeCell ref="B2:G2"/>
    <mergeCell ref="B3:C3"/>
    <mergeCell ref="D3:E3"/>
    <mergeCell ref="F3:G3"/>
    <mergeCell ref="B4:C4"/>
    <mergeCell ref="D4:E4"/>
    <mergeCell ref="F4:G4"/>
    <mergeCell ref="B8:C8"/>
    <mergeCell ref="D8:E8"/>
    <mergeCell ref="F8:G8"/>
    <mergeCell ref="B45:C45"/>
    <mergeCell ref="D45:E45"/>
    <mergeCell ref="F45:G45"/>
  </mergeCells>
  <conditionalFormatting sqref="B53:G53">
    <cfRule type="expression" dxfId="34" priority="1">
      <formula>F9&lt;0</formula>
    </cfRule>
    <cfRule type="expression" dxfId="33" priority="16" stopIfTrue="1">
      <formula>F$9&lt;=16</formula>
    </cfRule>
    <cfRule type="expression" dxfId="32" priority="17" stopIfTrue="1">
      <formula>$F$9&lt;=24</formula>
    </cfRule>
    <cfRule type="expression" dxfId="31" priority="18" stopIfTrue="1">
      <formula>$F$9&lt;=36</formula>
    </cfRule>
    <cfRule type="expression" dxfId="30" priority="19" stopIfTrue="1">
      <formula>$F$9&lt;=48</formula>
    </cfRule>
    <cfRule type="expression" dxfId="29" priority="20" stopIfTrue="1">
      <formula>$F$9&lt;=65</formula>
    </cfRule>
    <cfRule type="expression" dxfId="28" priority="21" stopIfTrue="1">
      <formula>$F$9&gt;65</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6BE80-BD76-46B6-934F-34BAC75A1ABC}">
  <sheetPr codeName="Sheet19">
    <tabColor rgb="FFFFFF00"/>
    <pageSetUpPr fitToPage="1"/>
  </sheetPr>
  <dimension ref="B1:M34"/>
  <sheetViews>
    <sheetView showGridLines="0" topLeftCell="A4" zoomScale="68" zoomScaleNormal="175" zoomScaleSheetLayoutView="80" zoomScalePageLayoutView="68" workbookViewId="0">
      <selection activeCell="G7" sqref="G7"/>
    </sheetView>
  </sheetViews>
  <sheetFormatPr baseColWidth="10" defaultColWidth="9.109375" defaultRowHeight="12"/>
  <cols>
    <col min="1" max="1" width="4.77734375" style="373" customWidth="1"/>
    <col min="2" max="2" width="2.5546875" style="373" customWidth="1"/>
    <col min="3" max="3" width="7.109375" style="371" customWidth="1"/>
    <col min="4" max="4" width="7.109375" style="372" customWidth="1"/>
    <col min="5" max="5" width="11.5546875" style="372" customWidth="1"/>
    <col min="6" max="6" width="12.5546875" style="372" customWidth="1"/>
    <col min="7" max="7" width="12.33203125" style="372" customWidth="1"/>
    <col min="8" max="8" width="12.33203125" style="81" customWidth="1"/>
    <col min="9" max="9" width="1.21875" style="81" customWidth="1"/>
    <col min="10" max="10" width="12" style="81" customWidth="1"/>
    <col min="11" max="11" width="12" style="373" customWidth="1"/>
    <col min="12" max="12" width="4.77734375" style="373" customWidth="1"/>
    <col min="13" max="13" width="26.77734375" style="373" customWidth="1"/>
    <col min="14" max="16384" width="9.109375" style="373"/>
  </cols>
  <sheetData>
    <row r="1" spans="2:13" ht="23.25" customHeight="1" thickBot="1">
      <c r="C1" s="373"/>
      <c r="D1" s="373"/>
      <c r="E1" s="373"/>
      <c r="F1" s="373"/>
      <c r="G1" s="373"/>
      <c r="H1" s="373"/>
      <c r="I1" s="373"/>
      <c r="J1" s="373"/>
      <c r="L1" s="451"/>
      <c r="M1" s="451"/>
    </row>
    <row r="2" spans="2:13" ht="31.2" customHeight="1" thickBot="1">
      <c r="C2" s="450"/>
      <c r="D2" s="1025" t="s">
        <v>447</v>
      </c>
      <c r="E2" s="1026"/>
      <c r="F2" s="1027">
        <v>1</v>
      </c>
      <c r="G2" s="1028"/>
      <c r="H2" s="450"/>
      <c r="I2" s="450"/>
      <c r="J2" s="450"/>
      <c r="K2" s="450"/>
      <c r="L2" s="451"/>
      <c r="M2" s="451"/>
    </row>
    <row r="3" spans="2:13" ht="7.2" customHeight="1">
      <c r="C3" s="6"/>
      <c r="D3" s="481"/>
      <c r="E3" s="481"/>
      <c r="F3" s="481"/>
      <c r="G3" s="481"/>
      <c r="H3" s="482"/>
      <c r="I3" s="482"/>
      <c r="J3" s="482"/>
      <c r="K3" s="450"/>
      <c r="L3" s="451"/>
      <c r="M3" s="451"/>
    </row>
    <row r="4" spans="2:13" ht="23.25" customHeight="1">
      <c r="C4" s="1029" t="s">
        <v>417</v>
      </c>
      <c r="D4" s="1029"/>
      <c r="E4" s="1029"/>
      <c r="F4" s="1029"/>
      <c r="G4" s="1029"/>
      <c r="H4" s="1029"/>
      <c r="I4" s="1029"/>
      <c r="J4" s="1029"/>
      <c r="K4" s="1029"/>
      <c r="L4" s="451"/>
      <c r="M4" s="451"/>
    </row>
    <row r="5" spans="2:13" ht="33.75" customHeight="1">
      <c r="C5" s="373"/>
      <c r="D5" s="1031" t="s">
        <v>327</v>
      </c>
      <c r="E5" s="1032"/>
      <c r="F5" s="1032"/>
      <c r="G5" s="637" t="s">
        <v>332</v>
      </c>
      <c r="H5" s="1032" t="s">
        <v>330</v>
      </c>
      <c r="I5" s="1032"/>
      <c r="J5" s="1033"/>
      <c r="K5" s="450"/>
      <c r="M5" s="450"/>
    </row>
    <row r="6" spans="2:13" ht="33" customHeight="1">
      <c r="C6" s="373"/>
      <c r="D6" s="1034" t="s">
        <v>335</v>
      </c>
      <c r="E6" s="1035"/>
      <c r="F6" s="1035"/>
      <c r="G6" s="723">
        <f>+IF(F2=1,'PROYECTO DE PENSIÓN'!C6,IF(F2=2,'PROYECTO DE PENSIÓN'!D6,IF(F2=3,'PROYECTO DE PENSIÓN'!E6,IF(F2=4,'PROYECTO DE PENSIÓN'!F6,IF(F2=5,'PROYECTO DE PENSIÓN'!G6,IF(F2=6,'PROYECTO DE PENSIÓN'!H6,IF(E2=7,'PROYECTO DE PENSIÓN'!I6,IF(E2=8,'PROYECTO DE PENSIÓN'!J6,IF(F2=9,'PROYECTO DE PENSIÓN'!K6,IF(F2=10,'PROYECTO DE PENSIÓN'!L6))))))))))</f>
        <v>0</v>
      </c>
      <c r="H6" s="1036">
        <f>+IF(F2=1,'PROYECTO DE PENSIÓN'!C7,IF(F2=2,'PROYECTO DE PENSIÓN'!D7,IF(F2=3,'PROYECTO DE PENSIÓN'!E7,IF(F2=4,'PROYECTO DE PENSIÓN'!F7,IF(F2=5,'PROYECTO DE PENSIÓN'!G7,IF(F2=6,'PROYECTO DE PENSIÓN'!H7,IF(F2=7,'PROYECTO DE PENSIÓN'!I7,IF(F2=8,'PROYECTO DE PENSIÓN'!J7,IF(F2=9,'PROYECTO DE PENSIÓN'!K7,IF(F2=10,'PROYECTO DE PENSIÓN'!L7))))))))))</f>
        <v>0</v>
      </c>
      <c r="I6" s="1036"/>
      <c r="J6" s="1037"/>
      <c r="K6" s="450"/>
      <c r="M6" s="450"/>
    </row>
    <row r="7" spans="2:13" ht="33" customHeight="1">
      <c r="C7" s="373"/>
      <c r="D7" s="1038" t="s">
        <v>371</v>
      </c>
      <c r="E7" s="1039"/>
      <c r="F7" s="1039"/>
      <c r="G7" s="724" t="s">
        <v>85</v>
      </c>
      <c r="H7" s="1040">
        <f>IF(G7="SI",
   IF(F2=1,-'PROYECTO DE PENSIÓN'!C39,
   IF(F2=2,-'PROYECTO DE PENSIÓN'!D39,
   IF(F2=3,-'PROYECTO DE PENSIÓN'!E39,
   IF(F2=4,-'PROYECTO DE PENSIÓN'!F39,
   IF(F2=5,-'PROYECTO DE PENSIÓN'!G39,
   IF(F2=6,-'PROYECTO DE PENSIÓN'!H39,
   IF(F2=7,-'PROYECTO DE PENSIÓN'!I39,
   IF(F2=8,-'PROYECTO DE PENSIÓN'!J39,
   IF(F2=9,-'PROYECTO DE PENSIÓN'!K39,
   IF(F2=10,-'PROYECTO DE PENSIÓN'!L39
   )))))))))),
   "No Aplica"
)</f>
        <v>0</v>
      </c>
      <c r="I7" s="1040"/>
      <c r="J7" s="1041"/>
      <c r="K7" s="450"/>
      <c r="M7" s="450"/>
    </row>
    <row r="8" spans="2:13" ht="32.700000000000003" customHeight="1">
      <c r="B8" s="6"/>
      <c r="C8" s="6"/>
      <c r="D8" s="1042" t="s">
        <v>342</v>
      </c>
      <c r="E8" s="1043"/>
      <c r="F8" s="1043"/>
      <c r="G8" s="1043"/>
      <c r="H8" s="1044">
        <f>IF(ISNUMBER(H7),H6+H7,H6)</f>
        <v>0</v>
      </c>
      <c r="I8" s="1044"/>
      <c r="J8" s="1045"/>
      <c r="K8" s="450"/>
      <c r="M8" s="450"/>
    </row>
    <row r="9" spans="2:13" ht="7.5" customHeight="1">
      <c r="B9" s="6"/>
      <c r="C9" s="6"/>
      <c r="D9" s="481"/>
      <c r="E9" s="481"/>
      <c r="F9" s="481"/>
      <c r="G9" s="481"/>
      <c r="H9" s="482"/>
      <c r="I9" s="482"/>
      <c r="J9" s="482"/>
      <c r="K9" s="450"/>
    </row>
    <row r="10" spans="2:13" ht="30.75" customHeight="1">
      <c r="C10" s="1046" t="s">
        <v>343</v>
      </c>
      <c r="D10" s="1046"/>
      <c r="E10" s="1046"/>
      <c r="F10" s="1046"/>
      <c r="G10" s="1046"/>
      <c r="H10" s="1046"/>
      <c r="I10" s="1046"/>
      <c r="J10" s="1046"/>
      <c r="K10" s="1046"/>
    </row>
    <row r="11" spans="2:13" ht="26.7" customHeight="1">
      <c r="C11" s="720" t="s">
        <v>303</v>
      </c>
      <c r="D11" s="722" t="s">
        <v>304</v>
      </c>
      <c r="E11" s="722" t="s">
        <v>368</v>
      </c>
      <c r="F11" s="722" t="s">
        <v>369</v>
      </c>
      <c r="G11" s="722" t="s">
        <v>305</v>
      </c>
      <c r="H11" s="721" t="s">
        <v>336</v>
      </c>
      <c r="I11" s="373"/>
      <c r="J11" s="720" t="s">
        <v>370</v>
      </c>
      <c r="K11" s="721" t="s">
        <v>317</v>
      </c>
    </row>
    <row r="12" spans="2:13" ht="15" customHeight="1">
      <c r="B12" s="1024" t="s">
        <v>373</v>
      </c>
      <c r="C12" s="709">
        <v>1</v>
      </c>
      <c r="D12" s="82" cm="1">
        <f t="array" ref="D12">IFERROR(ROUND(INDEX('PROYECTO DE PENSIÓN'!C16:L16, INT(F2)), 0), "")</f>
        <v>0</v>
      </c>
      <c r="E12" s="372">
        <f>+G6</f>
        <v>0</v>
      </c>
      <c r="F12" s="372">
        <f>+H6</f>
        <v>0</v>
      </c>
      <c r="G12" s="372">
        <f>+H7</f>
        <v>0</v>
      </c>
      <c r="H12" s="719">
        <f>IF(ISNUMBER(G12),F12+G12,F12)</f>
        <v>0</v>
      </c>
      <c r="I12" s="598"/>
      <c r="J12" s="483">
        <f>+(H12-E12)*12+F12/1.15-E12/1.15</f>
        <v>0</v>
      </c>
      <c r="K12" s="718">
        <f>+J12</f>
        <v>0</v>
      </c>
    </row>
    <row r="13" spans="2:13" ht="15" customHeight="1">
      <c r="B13" s="1024"/>
      <c r="C13" s="707">
        <f t="shared" ref="C13:D28" si="0">+C12+1</f>
        <v>2</v>
      </c>
      <c r="D13" s="493">
        <f t="shared" si="0"/>
        <v>1</v>
      </c>
      <c r="E13" s="492">
        <f>+E12*1.045</f>
        <v>0</v>
      </c>
      <c r="F13" s="492">
        <f>+F12*1.045</f>
        <v>0</v>
      </c>
      <c r="G13" s="492">
        <f>+G12</f>
        <v>0</v>
      </c>
      <c r="H13" s="708">
        <f>IF(ISNUMBER(G13),F13+G13,F13)</f>
        <v>0</v>
      </c>
      <c r="I13" s="598"/>
      <c r="J13" s="484">
        <f>+(H13-E13)*12+F13/1.15-E13/1.15</f>
        <v>0</v>
      </c>
      <c r="K13" s="485">
        <f t="shared" ref="K13:K31" si="1">+J13+K12</f>
        <v>0</v>
      </c>
    </row>
    <row r="14" spans="2:13" ht="15" customHeight="1">
      <c r="B14" s="1024"/>
      <c r="C14" s="709">
        <f t="shared" si="0"/>
        <v>3</v>
      </c>
      <c r="D14" s="82">
        <f t="shared" si="0"/>
        <v>2</v>
      </c>
      <c r="E14" s="372">
        <f t="shared" ref="E14:F29" si="2">+E13*1.045</f>
        <v>0</v>
      </c>
      <c r="F14" s="372">
        <f t="shared" si="2"/>
        <v>0</v>
      </c>
      <c r="G14" s="372">
        <f>+G13</f>
        <v>0</v>
      </c>
      <c r="H14" s="710">
        <f>IF(ISNUMBER(G14),F14+G14,F14)</f>
        <v>0</v>
      </c>
      <c r="I14" s="598"/>
      <c r="J14" s="483">
        <f>+(H14-E14)*12+F14/1.15-E14/1.15</f>
        <v>0</v>
      </c>
      <c r="K14" s="486">
        <f t="shared" si="1"/>
        <v>0</v>
      </c>
    </row>
    <row r="15" spans="2:13" ht="15" customHeight="1">
      <c r="B15" s="1024"/>
      <c r="C15" s="707">
        <f t="shared" si="0"/>
        <v>4</v>
      </c>
      <c r="D15" s="493">
        <f t="shared" si="0"/>
        <v>3</v>
      </c>
      <c r="E15" s="492">
        <f t="shared" si="2"/>
        <v>0</v>
      </c>
      <c r="F15" s="492">
        <f t="shared" si="2"/>
        <v>0</v>
      </c>
      <c r="G15" s="492">
        <f>+G14</f>
        <v>0</v>
      </c>
      <c r="H15" s="708">
        <f>IF(ISNUMBER(G15),F15+G15,F15)</f>
        <v>0</v>
      </c>
      <c r="I15" s="598"/>
      <c r="J15" s="484">
        <f>+(H15-E15)*12+F15/1.15-E15/1.15</f>
        <v>0</v>
      </c>
      <c r="K15" s="485">
        <f t="shared" si="1"/>
        <v>0</v>
      </c>
    </row>
    <row r="16" spans="2:13" ht="15" customHeight="1">
      <c r="B16" s="1024"/>
      <c r="C16" s="709">
        <f t="shared" si="0"/>
        <v>5</v>
      </c>
      <c r="D16" s="82">
        <f t="shared" si="0"/>
        <v>4</v>
      </c>
      <c r="E16" s="372">
        <f t="shared" si="2"/>
        <v>0</v>
      </c>
      <c r="F16" s="372">
        <f t="shared" si="2"/>
        <v>0</v>
      </c>
      <c r="G16" s="372">
        <f>+G15</f>
        <v>0</v>
      </c>
      <c r="H16" s="710">
        <f>IF(ISNUMBER(G16),F16+G16,F16)</f>
        <v>0</v>
      </c>
      <c r="I16" s="598"/>
      <c r="J16" s="483">
        <f>+(H16-E16)*12+F16/1.15-E16/1.15</f>
        <v>0</v>
      </c>
      <c r="K16" s="487">
        <f t="shared" si="1"/>
        <v>0</v>
      </c>
    </row>
    <row r="17" spans="3:11" ht="15" customHeight="1">
      <c r="C17" s="707">
        <f t="shared" si="0"/>
        <v>6</v>
      </c>
      <c r="D17" s="493">
        <f t="shared" si="0"/>
        <v>5</v>
      </c>
      <c r="E17" s="492">
        <f t="shared" si="2"/>
        <v>0</v>
      </c>
      <c r="F17" s="492">
        <f t="shared" si="2"/>
        <v>0</v>
      </c>
      <c r="G17" s="494" t="s">
        <v>142</v>
      </c>
      <c r="H17" s="711">
        <f>+F17</f>
        <v>0</v>
      </c>
      <c r="I17" s="598"/>
      <c r="J17" s="484">
        <f>+(F17-E17)*12+(F17-E17)/1.15</f>
        <v>0</v>
      </c>
      <c r="K17" s="488">
        <f t="shared" si="1"/>
        <v>0</v>
      </c>
    </row>
    <row r="18" spans="3:11" ht="15" customHeight="1">
      <c r="C18" s="709">
        <f t="shared" si="0"/>
        <v>7</v>
      </c>
      <c r="D18" s="82">
        <f t="shared" si="0"/>
        <v>6</v>
      </c>
      <c r="E18" s="372">
        <f t="shared" si="2"/>
        <v>0</v>
      </c>
      <c r="F18" s="372">
        <f t="shared" si="2"/>
        <v>0</v>
      </c>
      <c r="G18" s="495" t="s">
        <v>142</v>
      </c>
      <c r="H18" s="712">
        <f>+F18</f>
        <v>0</v>
      </c>
      <c r="I18" s="598"/>
      <c r="J18" s="483">
        <f>+(F18-E18)*12+(F18-E18)/1.15</f>
        <v>0</v>
      </c>
      <c r="K18" s="489">
        <f t="shared" si="1"/>
        <v>0</v>
      </c>
    </row>
    <row r="19" spans="3:11" ht="15" customHeight="1">
      <c r="C19" s="707">
        <f t="shared" si="0"/>
        <v>8</v>
      </c>
      <c r="D19" s="493">
        <f t="shared" si="0"/>
        <v>7</v>
      </c>
      <c r="E19" s="492">
        <f t="shared" si="2"/>
        <v>0</v>
      </c>
      <c r="F19" s="492">
        <f t="shared" si="2"/>
        <v>0</v>
      </c>
      <c r="G19" s="494" t="s">
        <v>142</v>
      </c>
      <c r="H19" s="711">
        <f t="shared" ref="H19:H32" si="3">+F19</f>
        <v>0</v>
      </c>
      <c r="I19" s="598"/>
      <c r="J19" s="597">
        <f t="shared" ref="J19:J32" si="4">+(F19-E19)*12+(F19-E19)/1.15</f>
        <v>0</v>
      </c>
      <c r="K19" s="488">
        <f t="shared" si="1"/>
        <v>0</v>
      </c>
    </row>
    <row r="20" spans="3:11" ht="15" customHeight="1">
      <c r="C20" s="709">
        <f t="shared" si="0"/>
        <v>9</v>
      </c>
      <c r="D20" s="82">
        <f t="shared" si="0"/>
        <v>8</v>
      </c>
      <c r="E20" s="372">
        <f t="shared" si="2"/>
        <v>0</v>
      </c>
      <c r="F20" s="372">
        <f t="shared" si="2"/>
        <v>0</v>
      </c>
      <c r="G20" s="495" t="s">
        <v>142</v>
      </c>
      <c r="H20" s="712">
        <f t="shared" si="3"/>
        <v>0</v>
      </c>
      <c r="I20" s="598"/>
      <c r="J20" s="483">
        <f t="shared" si="4"/>
        <v>0</v>
      </c>
      <c r="K20" s="489">
        <f t="shared" si="1"/>
        <v>0</v>
      </c>
    </row>
    <row r="21" spans="3:11" ht="15" customHeight="1">
      <c r="C21" s="707">
        <f t="shared" si="0"/>
        <v>10</v>
      </c>
      <c r="D21" s="493">
        <f t="shared" si="0"/>
        <v>9</v>
      </c>
      <c r="E21" s="492">
        <f t="shared" si="2"/>
        <v>0</v>
      </c>
      <c r="F21" s="492">
        <f t="shared" si="2"/>
        <v>0</v>
      </c>
      <c r="G21" s="494" t="s">
        <v>142</v>
      </c>
      <c r="H21" s="711">
        <f t="shared" si="3"/>
        <v>0</v>
      </c>
      <c r="I21" s="598"/>
      <c r="J21" s="597">
        <f t="shared" si="4"/>
        <v>0</v>
      </c>
      <c r="K21" s="488">
        <f t="shared" si="1"/>
        <v>0</v>
      </c>
    </row>
    <row r="22" spans="3:11" ht="15" customHeight="1">
      <c r="C22" s="709">
        <f t="shared" si="0"/>
        <v>11</v>
      </c>
      <c r="D22" s="82">
        <f t="shared" si="0"/>
        <v>10</v>
      </c>
      <c r="E22" s="372">
        <f t="shared" si="2"/>
        <v>0</v>
      </c>
      <c r="F22" s="372">
        <f t="shared" si="2"/>
        <v>0</v>
      </c>
      <c r="G22" s="495" t="s">
        <v>142</v>
      </c>
      <c r="H22" s="712">
        <f t="shared" si="3"/>
        <v>0</v>
      </c>
      <c r="I22" s="598"/>
      <c r="J22" s="483">
        <f t="shared" si="4"/>
        <v>0</v>
      </c>
      <c r="K22" s="489">
        <f t="shared" si="1"/>
        <v>0</v>
      </c>
    </row>
    <row r="23" spans="3:11" ht="15" customHeight="1">
      <c r="C23" s="707">
        <f t="shared" si="0"/>
        <v>12</v>
      </c>
      <c r="D23" s="493">
        <f t="shared" si="0"/>
        <v>11</v>
      </c>
      <c r="E23" s="492">
        <f t="shared" si="2"/>
        <v>0</v>
      </c>
      <c r="F23" s="492">
        <f t="shared" si="2"/>
        <v>0</v>
      </c>
      <c r="G23" s="494" t="s">
        <v>142</v>
      </c>
      <c r="H23" s="711">
        <f t="shared" si="3"/>
        <v>0</v>
      </c>
      <c r="I23" s="598"/>
      <c r="J23" s="597">
        <f t="shared" si="4"/>
        <v>0</v>
      </c>
      <c r="K23" s="488">
        <f t="shared" si="1"/>
        <v>0</v>
      </c>
    </row>
    <row r="24" spans="3:11" ht="15" customHeight="1">
      <c r="C24" s="709">
        <f t="shared" si="0"/>
        <v>13</v>
      </c>
      <c r="D24" s="82">
        <f t="shared" si="0"/>
        <v>12</v>
      </c>
      <c r="E24" s="372">
        <f t="shared" si="2"/>
        <v>0</v>
      </c>
      <c r="F24" s="372">
        <f t="shared" si="2"/>
        <v>0</v>
      </c>
      <c r="G24" s="495" t="s">
        <v>142</v>
      </c>
      <c r="H24" s="712">
        <f t="shared" si="3"/>
        <v>0</v>
      </c>
      <c r="I24" s="598"/>
      <c r="J24" s="483">
        <f t="shared" si="4"/>
        <v>0</v>
      </c>
      <c r="K24" s="489">
        <f t="shared" si="1"/>
        <v>0</v>
      </c>
    </row>
    <row r="25" spans="3:11" ht="15" customHeight="1">
      <c r="C25" s="707">
        <f t="shared" si="0"/>
        <v>14</v>
      </c>
      <c r="D25" s="493">
        <f t="shared" si="0"/>
        <v>13</v>
      </c>
      <c r="E25" s="492">
        <f t="shared" si="2"/>
        <v>0</v>
      </c>
      <c r="F25" s="492">
        <f t="shared" si="2"/>
        <v>0</v>
      </c>
      <c r="G25" s="494" t="s">
        <v>142</v>
      </c>
      <c r="H25" s="711">
        <f t="shared" si="3"/>
        <v>0</v>
      </c>
      <c r="I25" s="598"/>
      <c r="J25" s="597">
        <f t="shared" si="4"/>
        <v>0</v>
      </c>
      <c r="K25" s="488">
        <f t="shared" si="1"/>
        <v>0</v>
      </c>
    </row>
    <row r="26" spans="3:11" ht="15" customHeight="1">
      <c r="C26" s="709">
        <f t="shared" si="0"/>
        <v>15</v>
      </c>
      <c r="D26" s="82">
        <f t="shared" si="0"/>
        <v>14</v>
      </c>
      <c r="E26" s="372">
        <f t="shared" si="2"/>
        <v>0</v>
      </c>
      <c r="F26" s="372">
        <f t="shared" si="2"/>
        <v>0</v>
      </c>
      <c r="G26" s="495" t="s">
        <v>142</v>
      </c>
      <c r="H26" s="712">
        <f t="shared" si="3"/>
        <v>0</v>
      </c>
      <c r="I26" s="598"/>
      <c r="J26" s="483">
        <f t="shared" si="4"/>
        <v>0</v>
      </c>
      <c r="K26" s="489">
        <f t="shared" si="1"/>
        <v>0</v>
      </c>
    </row>
    <row r="27" spans="3:11" ht="15" customHeight="1">
      <c r="C27" s="707">
        <f t="shared" si="0"/>
        <v>16</v>
      </c>
      <c r="D27" s="493">
        <f t="shared" si="0"/>
        <v>15</v>
      </c>
      <c r="E27" s="492">
        <f t="shared" si="2"/>
        <v>0</v>
      </c>
      <c r="F27" s="492">
        <f t="shared" si="2"/>
        <v>0</v>
      </c>
      <c r="G27" s="494" t="s">
        <v>142</v>
      </c>
      <c r="H27" s="711">
        <f t="shared" si="3"/>
        <v>0</v>
      </c>
      <c r="I27" s="598"/>
      <c r="J27" s="597">
        <f t="shared" si="4"/>
        <v>0</v>
      </c>
      <c r="K27" s="488">
        <f t="shared" si="1"/>
        <v>0</v>
      </c>
    </row>
    <row r="28" spans="3:11" ht="15" customHeight="1">
      <c r="C28" s="709">
        <f t="shared" si="0"/>
        <v>17</v>
      </c>
      <c r="D28" s="82">
        <f t="shared" si="0"/>
        <v>16</v>
      </c>
      <c r="E28" s="372">
        <f t="shared" si="2"/>
        <v>0</v>
      </c>
      <c r="F28" s="372">
        <f t="shared" si="2"/>
        <v>0</v>
      </c>
      <c r="G28" s="495" t="s">
        <v>142</v>
      </c>
      <c r="H28" s="712">
        <f t="shared" si="3"/>
        <v>0</v>
      </c>
      <c r="I28" s="598"/>
      <c r="J28" s="483">
        <f t="shared" si="4"/>
        <v>0</v>
      </c>
      <c r="K28" s="489">
        <f t="shared" si="1"/>
        <v>0</v>
      </c>
    </row>
    <row r="29" spans="3:11" ht="15" customHeight="1">
      <c r="C29" s="707">
        <f t="shared" ref="C29:D31" si="5">+C28+1</f>
        <v>18</v>
      </c>
      <c r="D29" s="493">
        <f t="shared" si="5"/>
        <v>17</v>
      </c>
      <c r="E29" s="492">
        <f t="shared" si="2"/>
        <v>0</v>
      </c>
      <c r="F29" s="492">
        <f t="shared" si="2"/>
        <v>0</v>
      </c>
      <c r="G29" s="494" t="s">
        <v>142</v>
      </c>
      <c r="H29" s="711">
        <f t="shared" si="3"/>
        <v>0</v>
      </c>
      <c r="I29" s="598"/>
      <c r="J29" s="597">
        <f t="shared" si="4"/>
        <v>0</v>
      </c>
      <c r="K29" s="488">
        <f t="shared" si="1"/>
        <v>0</v>
      </c>
    </row>
    <row r="30" spans="3:11" ht="15" customHeight="1">
      <c r="C30" s="709">
        <f t="shared" si="5"/>
        <v>19</v>
      </c>
      <c r="D30" s="82">
        <f t="shared" si="5"/>
        <v>18</v>
      </c>
      <c r="E30" s="372">
        <f t="shared" ref="E30:F31" si="6">+E29*1.045</f>
        <v>0</v>
      </c>
      <c r="F30" s="372">
        <f t="shared" si="6"/>
        <v>0</v>
      </c>
      <c r="G30" s="495" t="s">
        <v>142</v>
      </c>
      <c r="H30" s="712">
        <f t="shared" si="3"/>
        <v>0</v>
      </c>
      <c r="I30" s="598"/>
      <c r="J30" s="483">
        <f t="shared" si="4"/>
        <v>0</v>
      </c>
      <c r="K30" s="489">
        <f t="shared" si="1"/>
        <v>0</v>
      </c>
    </row>
    <row r="31" spans="3:11" ht="15" customHeight="1">
      <c r="C31" s="707">
        <f t="shared" si="5"/>
        <v>20</v>
      </c>
      <c r="D31" s="493">
        <f t="shared" si="5"/>
        <v>19</v>
      </c>
      <c r="E31" s="492">
        <f t="shared" si="6"/>
        <v>0</v>
      </c>
      <c r="F31" s="492">
        <f t="shared" si="6"/>
        <v>0</v>
      </c>
      <c r="G31" s="494" t="s">
        <v>142</v>
      </c>
      <c r="H31" s="711">
        <f t="shared" si="3"/>
        <v>0</v>
      </c>
      <c r="I31" s="598"/>
      <c r="J31" s="597">
        <f t="shared" si="4"/>
        <v>0</v>
      </c>
      <c r="K31" s="488">
        <f t="shared" si="1"/>
        <v>0</v>
      </c>
    </row>
    <row r="32" spans="3:11" ht="15" customHeight="1">
      <c r="C32" s="713">
        <f>+C31+1</f>
        <v>21</v>
      </c>
      <c r="D32" s="714">
        <f>+D31+1</f>
        <v>20</v>
      </c>
      <c r="E32" s="715">
        <f>+E31*1.045</f>
        <v>0</v>
      </c>
      <c r="F32" s="715">
        <f>+F31*1.045</f>
        <v>0</v>
      </c>
      <c r="G32" s="716" t="s">
        <v>142</v>
      </c>
      <c r="H32" s="717">
        <f t="shared" si="3"/>
        <v>0</v>
      </c>
      <c r="I32" s="598"/>
      <c r="J32" s="490">
        <f t="shared" si="4"/>
        <v>0</v>
      </c>
      <c r="K32" s="491">
        <f>+J32+K31</f>
        <v>0</v>
      </c>
    </row>
    <row r="33" spans="3:11" ht="5.7" customHeight="1"/>
    <row r="34" spans="3:11" s="370" customFormat="1" ht="55.2" customHeight="1">
      <c r="C34" s="1030" t="s">
        <v>416</v>
      </c>
      <c r="D34" s="1030"/>
      <c r="E34" s="1030"/>
      <c r="F34" s="1030"/>
      <c r="G34" s="1030"/>
      <c r="H34" s="1030"/>
      <c r="I34" s="1030"/>
      <c r="J34" s="1030"/>
      <c r="K34" s="1030"/>
    </row>
  </sheetData>
  <sheetProtection algorithmName="SHA-512" hashValue="j+QeRGJKzTUr1lW0KW176mSRNX66xE604JMo6D6HIF5rDFSkPfG4lyUijOs2zmbBOQtpPrR9Gj1dWcOoFv6xlg==" saltValue="bV2bBJWi6tic4/3uCio2aA==" spinCount="100000" sheet="1" objects="1" scenarios="1"/>
  <protectedRanges>
    <protectedRange sqref="F2:F9" name="Rango1"/>
  </protectedRanges>
  <mergeCells count="14">
    <mergeCell ref="B12:B16"/>
    <mergeCell ref="D2:E2"/>
    <mergeCell ref="F2:G2"/>
    <mergeCell ref="C4:K4"/>
    <mergeCell ref="C34:K34"/>
    <mergeCell ref="D5:F5"/>
    <mergeCell ref="H5:J5"/>
    <mergeCell ref="D6:F6"/>
    <mergeCell ref="H6:J6"/>
    <mergeCell ref="D7:F7"/>
    <mergeCell ref="H7:J7"/>
    <mergeCell ref="D8:G8"/>
    <mergeCell ref="H8:J8"/>
    <mergeCell ref="C10:K10"/>
  </mergeCells>
  <pageMargins left="0.70866141732283472" right="0.70866141732283472" top="0.74803149606299213" bottom="0.74803149606299213" header="0.31496062992125984" footer="0.31496062992125984"/>
  <pageSetup paperSize="194" scale="90" orientation="portrait" r:id="rId1"/>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r:uid="{707E8EE1-A5E2-496F-B64B-E8F7470D03EF}">
          <x14:formula1>
            <xm:f>'1'!$J$3:$J$4</xm:f>
          </x14:formula1>
          <xm:sqref>G7</xm:sqref>
        </x14:dataValidation>
        <x14:dataValidation type="list" allowBlank="1" showInputMessage="1" showErrorMessage="1" xr:uid="{22248FBB-48EA-46B5-A372-33A64132E3C6}">
          <x14:formula1>
            <xm:f>'1'!$U$2:$U$11</xm:f>
          </x14:formula1>
          <xm:sqref>F2:G2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C01D-D2FC-47E4-9FC7-2D675D2BD4E8}">
  <sheetPr codeName="Sheet7">
    <tabColor theme="7"/>
  </sheetPr>
  <dimension ref="B1:G28"/>
  <sheetViews>
    <sheetView topLeftCell="B5" zoomScale="89" zoomScaleNormal="40" workbookViewId="0">
      <selection activeCell="M16" sqref="M16"/>
    </sheetView>
  </sheetViews>
  <sheetFormatPr baseColWidth="10" defaultColWidth="9.109375" defaultRowHeight="14.4"/>
  <cols>
    <col min="1" max="1" width="2.77734375" style="38" customWidth="1"/>
    <col min="2" max="4" width="25.21875" style="38" customWidth="1"/>
    <col min="5" max="5" width="46.44140625" style="38" customWidth="1"/>
    <col min="6" max="6" width="5.77734375" style="38" customWidth="1"/>
    <col min="7" max="7" width="40.109375" style="38" customWidth="1"/>
    <col min="8" max="16384" width="9.109375" style="38"/>
  </cols>
  <sheetData>
    <row r="1" spans="2:7" ht="7.2" customHeight="1" thickBot="1"/>
    <row r="2" spans="2:7" s="1" customFormat="1" ht="40.200000000000003" customHeight="1" thickBot="1">
      <c r="B2" s="1055" t="s">
        <v>171</v>
      </c>
      <c r="C2" s="1056"/>
      <c r="D2" s="1056"/>
      <c r="E2" s="1057"/>
      <c r="F2" s="5"/>
    </row>
    <row r="3" spans="2:7" s="46" customFormat="1" ht="34.049999999999997" customHeight="1">
      <c r="B3" s="1058" t="s">
        <v>155</v>
      </c>
      <c r="C3" s="1059"/>
      <c r="D3" s="1059"/>
      <c r="E3" s="198">
        <f ca="1">+'SAL. PROM MOD 40'!B22</f>
        <v>47150</v>
      </c>
    </row>
    <row r="4" spans="2:7" s="46" customFormat="1" ht="34.049999999999997" customHeight="1">
      <c r="B4" s="1053" t="s">
        <v>173</v>
      </c>
      <c r="C4" s="1054"/>
      <c r="D4" s="1054"/>
      <c r="E4" s="199">
        <f ca="1">+'SAL. PROM MOD 40'!C22</f>
        <v>47514</v>
      </c>
    </row>
    <row r="5" spans="2:7" s="46" customFormat="1" ht="46.5" customHeight="1">
      <c r="B5" s="1060" t="s">
        <v>163</v>
      </c>
      <c r="C5" s="1061"/>
      <c r="D5" s="1061"/>
      <c r="E5" s="200">
        <f>+'SAL. PROM MOD 40'!E8+'SAL. PROM MOD 40'!F8/12</f>
        <v>1</v>
      </c>
    </row>
    <row r="6" spans="2:7" s="46" customFormat="1" ht="7.95" customHeight="1" thickBot="1">
      <c r="B6" s="62"/>
      <c r="C6" s="62"/>
      <c r="D6" s="62"/>
      <c r="E6" s="62"/>
      <c r="F6" s="12"/>
      <c r="G6" s="12"/>
    </row>
    <row r="7" spans="2:7" s="1" customFormat="1" ht="40.200000000000003" customHeight="1" thickBot="1">
      <c r="B7" s="988" t="s">
        <v>160</v>
      </c>
      <c r="C7" s="989"/>
      <c r="D7" s="989"/>
      <c r="E7" s="990"/>
      <c r="F7" s="13"/>
      <c r="G7" s="310"/>
    </row>
    <row r="8" spans="2:7" s="1" customFormat="1" ht="40.200000000000003" customHeight="1">
      <c r="B8" s="1071" t="s">
        <v>309</v>
      </c>
      <c r="C8" s="1072"/>
      <c r="D8" s="1073"/>
      <c r="E8" s="404">
        <f ca="1">+'COSTO MOD. 40'!G15</f>
        <v>217458.95063751665</v>
      </c>
      <c r="F8" s="13"/>
      <c r="G8" s="310"/>
    </row>
    <row r="9" spans="2:7" s="1" customFormat="1" ht="40.200000000000003" customHeight="1">
      <c r="B9" s="1065" t="s">
        <v>161</v>
      </c>
      <c r="C9" s="1066"/>
      <c r="D9" s="1067"/>
      <c r="E9" s="405">
        <f ca="1">+'2'!L62</f>
        <v>5062.0528446890412</v>
      </c>
      <c r="F9" s="13"/>
      <c r="G9" s="310"/>
    </row>
    <row r="10" spans="2:7" s="1" customFormat="1" ht="40.200000000000003" customHeight="1" thickBot="1">
      <c r="B10" s="1068" t="s">
        <v>162</v>
      </c>
      <c r="C10" s="1069"/>
      <c r="D10" s="1070"/>
      <c r="E10" s="406">
        <f ca="1">+'2'!T62</f>
        <v>29106.803856961986</v>
      </c>
      <c r="F10" s="13"/>
      <c r="G10" s="310"/>
    </row>
    <row r="11" spans="2:7" s="46" customFormat="1" ht="48" customHeight="1">
      <c r="B11" s="1063" t="s">
        <v>228</v>
      </c>
      <c r="C11" s="1064"/>
      <c r="D11" s="1064"/>
      <c r="E11" s="407">
        <f ca="1">+E8+E9+E10</f>
        <v>251627.80733916769</v>
      </c>
      <c r="F11" s="83"/>
      <c r="G11" s="13"/>
    </row>
    <row r="12" spans="2:7" s="46" customFormat="1" ht="48" customHeight="1" thickBot="1">
      <c r="B12" s="1051" t="s">
        <v>207</v>
      </c>
      <c r="C12" s="1052"/>
      <c r="D12" s="1052"/>
      <c r="E12" s="403">
        <f ca="1">+(E9+E10)/'COSTO MOD. 40'!G15</f>
        <v>0.15712784689468706</v>
      </c>
      <c r="F12" s="83"/>
      <c r="G12" s="20"/>
    </row>
    <row r="13" spans="2:7" s="1" customFormat="1" ht="42.45" customHeight="1" thickBot="1">
      <c r="B13" s="1062" t="s">
        <v>220</v>
      </c>
      <c r="C13" s="1062"/>
      <c r="D13" s="1062"/>
      <c r="E13" s="1062"/>
      <c r="F13" s="83"/>
    </row>
    <row r="14" spans="2:7" ht="15" thickBot="1">
      <c r="F14" s="60"/>
    </row>
    <row r="15" spans="2:7" ht="40.5" customHeight="1">
      <c r="B15" s="988" t="s">
        <v>247</v>
      </c>
      <c r="C15" s="989"/>
      <c r="D15" s="989"/>
      <c r="E15" s="990"/>
      <c r="F15" s="60"/>
    </row>
    <row r="16" spans="2:7" ht="48" customHeight="1">
      <c r="B16" s="1047" t="s">
        <v>153</v>
      </c>
      <c r="C16" s="1048"/>
      <c r="D16" s="1048"/>
      <c r="E16" s="309">
        <f ca="1">+E11*20%</f>
        <v>50325.561467833541</v>
      </c>
      <c r="F16" s="60"/>
    </row>
    <row r="17" spans="2:6" ht="50.7" customHeight="1" thickBot="1">
      <c r="B17" s="1049" t="s">
        <v>229</v>
      </c>
      <c r="C17" s="1050"/>
      <c r="D17" s="1050"/>
      <c r="E17" s="408">
        <f ca="1">E11-E16</f>
        <v>201302.24587133416</v>
      </c>
      <c r="F17" s="60"/>
    </row>
    <row r="19" spans="2:6" ht="24.45" customHeight="1"/>
    <row r="20" spans="2:6" ht="43.05" customHeight="1"/>
    <row r="28" spans="2:6" ht="21">
      <c r="E28" s="191"/>
    </row>
  </sheetData>
  <sheetProtection algorithmName="SHA-512" hashValue="IHYEq8Fhr4qabXcWJLlyeRUkNJlTzF9K9DJDLEU1qLgJcdLmkNZKxarCREesA9/L9UvPtw6Jwh4vZ36crhQgdA==" saltValue="yvoQyBHGl4aGdprJ7QWqmw==" spinCount="100000" sheet="1" objects="1" scenarios="1"/>
  <protectedRanges>
    <protectedRange sqref="E16" name="Rango2"/>
  </protectedRanges>
  <mergeCells count="14">
    <mergeCell ref="B4:D4"/>
    <mergeCell ref="B2:E2"/>
    <mergeCell ref="B3:D3"/>
    <mergeCell ref="B5:D5"/>
    <mergeCell ref="B13:E13"/>
    <mergeCell ref="B11:D11"/>
    <mergeCell ref="B9:D9"/>
    <mergeCell ref="B10:D10"/>
    <mergeCell ref="B8:D8"/>
    <mergeCell ref="B16:D16"/>
    <mergeCell ref="B17:D17"/>
    <mergeCell ref="B12:D12"/>
    <mergeCell ref="B15:E15"/>
    <mergeCell ref="B7:E7"/>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20AF1-3D9A-4FF1-9C87-B9591FD27A68}">
  <sheetPr codeName="Sheet8">
    <tabColor theme="7"/>
  </sheetPr>
  <dimension ref="B1:G66"/>
  <sheetViews>
    <sheetView topLeftCell="A7" zoomScale="33" zoomScaleNormal="25" workbookViewId="0">
      <selection activeCell="F32" sqref="F32"/>
    </sheetView>
  </sheetViews>
  <sheetFormatPr baseColWidth="10" defaultColWidth="9.109375" defaultRowHeight="14.4"/>
  <cols>
    <col min="1" max="1" width="3.109375" style="38" customWidth="1"/>
    <col min="2" max="2" width="52.44140625" style="38" customWidth="1"/>
    <col min="3" max="3" width="41" style="38" customWidth="1"/>
    <col min="4" max="4" width="2.5546875" style="38" customWidth="1"/>
    <col min="5" max="5" width="52.44140625" style="60" customWidth="1"/>
    <col min="6" max="6" width="41" style="60" customWidth="1"/>
    <col min="7" max="8" width="19.44140625" style="38" customWidth="1"/>
    <col min="9" max="16384" width="9.109375" style="38"/>
  </cols>
  <sheetData>
    <row r="1" spans="2:6" ht="6" customHeight="1" thickBot="1"/>
    <row r="2" spans="2:6" ht="51" customHeight="1" thickTop="1" thickBot="1">
      <c r="B2" s="197" t="s">
        <v>221</v>
      </c>
      <c r="C2" s="209">
        <f ca="1">IF(ISNUMBER('PENSIÓN ACTUAL'!C30),'PENSIÓN ACTUAL'!C30,'PENSIÓN ACTUAL'!C22)</f>
        <v>62856.639291942876</v>
      </c>
      <c r="E2" s="38"/>
      <c r="F2" s="38"/>
    </row>
    <row r="3" spans="2:6" ht="6" customHeight="1" thickTop="1" thickBot="1"/>
    <row r="4" spans="2:6" s="1" customFormat="1" ht="37.049999999999997" customHeight="1" thickTop="1" thickBot="1">
      <c r="B4" s="1078" t="s">
        <v>174</v>
      </c>
      <c r="C4" s="1079"/>
      <c r="E4" s="1078" t="s">
        <v>175</v>
      </c>
      <c r="F4" s="1079"/>
    </row>
    <row r="5" spans="2:6" s="46" customFormat="1" ht="37.049999999999997" customHeight="1" thickTop="1">
      <c r="B5" s="201" t="s">
        <v>77</v>
      </c>
      <c r="C5" s="206">
        <f ca="1">+'DATOS GEN. MOD 40'!C12</f>
        <v>61</v>
      </c>
      <c r="E5" s="201" t="s">
        <v>77</v>
      </c>
      <c r="F5" s="202">
        <f ca="1">+'DATOS GEN. MOD 40'!C12</f>
        <v>61</v>
      </c>
    </row>
    <row r="6" spans="2:6" s="46" customFormat="1" ht="37.049999999999997" customHeight="1">
      <c r="B6" s="203" t="s">
        <v>167</v>
      </c>
      <c r="C6" s="270" t="e">
        <f>+#REF!</f>
        <v>#REF!</v>
      </c>
      <c r="E6" s="203" t="s">
        <v>167</v>
      </c>
      <c r="F6" s="266">
        <f ca="1">+'PAGO RETROACTIVO'!E11</f>
        <v>251627.80733916769</v>
      </c>
    </row>
    <row r="7" spans="2:6" s="46" customFormat="1" ht="53.55" customHeight="1">
      <c r="B7" s="203" t="s">
        <v>177</v>
      </c>
      <c r="C7" s="270" t="e">
        <f>+#REF!</f>
        <v>#REF!</v>
      </c>
      <c r="E7" s="203" t="s">
        <v>177</v>
      </c>
      <c r="F7" s="266">
        <f ca="1">+'PAGO RETROACTIVO'!E16</f>
        <v>50325.561467833541</v>
      </c>
    </row>
    <row r="8" spans="2:6" s="1" customFormat="1" ht="50.55" customHeight="1" thickBot="1">
      <c r="B8" s="205" t="s">
        <v>223</v>
      </c>
      <c r="C8" s="269" t="e">
        <f>+C6-C7</f>
        <v>#REF!</v>
      </c>
      <c r="E8" s="208" t="s">
        <v>224</v>
      </c>
      <c r="F8" s="261">
        <f ca="1">+F6-F7</f>
        <v>201302.24587133416</v>
      </c>
    </row>
    <row r="9" spans="2:6" s="1" customFormat="1" ht="37.950000000000003" customHeight="1" thickTop="1" thickBot="1">
      <c r="E9" s="219" t="s">
        <v>178</v>
      </c>
      <c r="F9" s="220" t="e">
        <f ca="1">+(F8-C8)/F8</f>
        <v>#REF!</v>
      </c>
    </row>
    <row r="10" spans="2:6" s="1" customFormat="1" ht="6" customHeight="1" thickTop="1" thickBot="1"/>
    <row r="11" spans="2:6" ht="37.049999999999997" customHeight="1" thickTop="1" thickBot="1">
      <c r="B11" s="1080" t="s">
        <v>137</v>
      </c>
      <c r="C11" s="1081"/>
      <c r="E11" s="1080" t="s">
        <v>137</v>
      </c>
      <c r="F11" s="1081"/>
    </row>
    <row r="12" spans="2:6" ht="50.55" customHeight="1" thickTop="1" thickBot="1">
      <c r="B12" s="221" t="s">
        <v>82</v>
      </c>
      <c r="C12" s="222" t="e">
        <f ca="1">C8/(C32-C2)</f>
        <v>#REF!</v>
      </c>
      <c r="E12" s="221" t="s">
        <v>82</v>
      </c>
      <c r="F12" s="222">
        <f ca="1">+F8/(F32-C2)</f>
        <v>14.903509272682752</v>
      </c>
    </row>
    <row r="13" spans="2:6" s="1" customFormat="1" ht="49.95" customHeight="1" thickTop="1"/>
    <row r="14" spans="2:6" ht="6" customHeight="1"/>
    <row r="15" spans="2:6" ht="50.55" customHeight="1"/>
    <row r="16" spans="2:6" ht="7.05" customHeight="1">
      <c r="E16" s="38"/>
      <c r="F16" s="38"/>
    </row>
    <row r="19" spans="2:7" ht="41.55" customHeight="1"/>
    <row r="31" spans="2:7" ht="15" thickBot="1"/>
    <row r="32" spans="2:7" ht="43.05" customHeight="1" thickTop="1" thickBot="1">
      <c r="B32" s="248" t="s">
        <v>180</v>
      </c>
      <c r="C32" s="267">
        <f ca="1">IF(ISNUMBER('PENSION MOD. 40'!C30),'PENSION MOD. 40'!C30,'PENSION MOD. 40'!C26)</f>
        <v>76363.675936010943</v>
      </c>
      <c r="E32" s="248" t="s">
        <v>180</v>
      </c>
      <c r="F32" s="268">
        <f ca="1">IF(ISNUMBER('PENSION MOD. 40'!C30),'PENSION MOD. 40'!C30,'PENSION MOD. 40'!C26)</f>
        <v>76363.675936010943</v>
      </c>
      <c r="G32" s="279"/>
    </row>
    <row r="33" spans="2:6" ht="49.95" customHeight="1" thickTop="1" thickBot="1">
      <c r="B33" s="247" t="s">
        <v>222</v>
      </c>
      <c r="C33" s="250">
        <f ca="1">+INVERSION!F46</f>
        <v>28896403.356119987</v>
      </c>
      <c r="D33" s="1"/>
      <c r="E33" s="247" t="s">
        <v>222</v>
      </c>
      <c r="F33" s="250">
        <f ca="1">(+Sheet1!Y247+(80-'DATOS GEN. MOD 40'!C12)*'MOD 40 REC. VS RETRO.'!F32)*1.54</f>
        <v>28854809.654839527</v>
      </c>
    </row>
    <row r="34" spans="2:6" ht="15.6" thickTop="1" thickBot="1"/>
    <row r="35" spans="2:6" ht="34.799999999999997" thickTop="1" thickBot="1">
      <c r="B35" s="1082" t="s">
        <v>230</v>
      </c>
      <c r="C35" s="1083"/>
      <c r="D35" s="360"/>
      <c r="E35" s="1082" t="s">
        <v>231</v>
      </c>
      <c r="F35" s="1083"/>
    </row>
    <row r="36" spans="2:6" ht="47.4" thickTop="1" thickBot="1">
      <c r="B36" s="363" t="s">
        <v>296</v>
      </c>
      <c r="C36" s="361" cm="1">
        <f t="array" aca="1" ref="C36:D36" ca="1">+INVERSION!D49:E49</f>
        <v>4986994.9022507556</v>
      </c>
      <c r="D36" s="359">
        <f ca="1"/>
        <v>0</v>
      </c>
      <c r="E36" s="363" t="s">
        <v>296</v>
      </c>
      <c r="F36" s="361">
        <f ca="1">+F33-INVERSION!D46</f>
        <v>4945401.2009702958</v>
      </c>
    </row>
    <row r="37" spans="2:6" ht="47.4" thickTop="1" thickBot="1">
      <c r="B37" s="364" t="s">
        <v>269</v>
      </c>
      <c r="C37" s="362" t="e">
        <f ca="1">+C36/C8</f>
        <v>#REF!</v>
      </c>
      <c r="D37" s="359"/>
      <c r="E37" s="364" t="s">
        <v>269</v>
      </c>
      <c r="F37" s="362">
        <f ca="1">+F36/F8</f>
        <v>24.567044344508879</v>
      </c>
    </row>
    <row r="38" spans="2:6" ht="15" thickTop="1"/>
    <row r="39" spans="2:6" ht="4.95" customHeight="1" thickBot="1"/>
    <row r="40" spans="2:6" ht="18.45" customHeight="1" thickTop="1">
      <c r="B40" s="1074" t="s">
        <v>152</v>
      </c>
      <c r="C40" s="1075"/>
      <c r="E40" s="1074" t="s">
        <v>152</v>
      </c>
      <c r="F40" s="1075"/>
    </row>
    <row r="41" spans="2:6" ht="48.45" customHeight="1" thickBot="1">
      <c r="B41" s="1076" t="e">
        <f ca="1">IF(AND(C12&gt;0,C12&lt;=16),"Excelente Inversión",IF(AND(C12&gt;0,C12&lt;=24),"Buena Inversión",IF(AND(C12&gt;0,C12&lt;=36),"Inversión Aceptable",IF(AND(C12&gt;0,C12&lt;=48),"Riesgo Moderado",IF(AND(C12&gt;0,C12&lt;=60),"¡Riesgo Alto!",IF(AND(C12&gt;0,C12&lt;&gt;72),"¡Ten cuidado!","No lo hagas"))))))</f>
        <v>#REF!</v>
      </c>
      <c r="C41" s="1077"/>
      <c r="E41" s="1076" t="str">
        <f ca="1">IF(AND(F12&gt;0,F12&lt;=16),"Excelente Inversión",IF(AND(F12&gt;0,F12&lt;=24),"Buena Inversión",IF(AND(F12&gt;0,F12&lt;=36),"Inversión Aceptable",IF(AND(F12&gt;0,F12&lt;=48),"Riesgo Moderado",IF(AND(F12&gt;0,F12&lt;=60),"¡Riesgo Alto!",IF(AND(F12&gt;0,F12&lt;&gt;72),"¡Ten cuidado!","No lo hagas"))))))</f>
        <v>Excelente Inversión</v>
      </c>
      <c r="F41" s="1077"/>
    </row>
    <row r="42" spans="2:6" ht="15" thickTop="1"/>
    <row r="57" spans="2:6">
      <c r="B57" s="38" t="s">
        <v>154</v>
      </c>
      <c r="E57" s="38"/>
      <c r="F57" s="38"/>
    </row>
    <row r="58" spans="2:6">
      <c r="E58" s="38"/>
      <c r="F58" s="38"/>
    </row>
    <row r="59" spans="2:6" ht="24.45" customHeight="1">
      <c r="E59" s="38"/>
      <c r="F59" s="38"/>
    </row>
    <row r="60" spans="2:6" ht="49.95" customHeight="1">
      <c r="E60" s="38"/>
      <c r="F60" s="38"/>
    </row>
    <row r="61" spans="2:6">
      <c r="E61" s="38"/>
      <c r="F61" s="38"/>
    </row>
    <row r="65" s="38" customFormat="1" ht="24.45" customHeight="1"/>
    <row r="66" s="38" customFormat="1" ht="43.05" customHeight="1"/>
  </sheetData>
  <sheetProtection algorithmName="SHA-512" hashValue="NhafAqvP8S6VS86fMXbipklAIajMGkLi++MRFPwwOFXAGTHni/l7LL/NnRwAjVmqq0nNEm8rTuDrVVmaHHbCnw==" saltValue="xtAj6UntFjFkAwhXI+6RTg==" spinCount="100000" sheet="1" objects="1" scenarios="1"/>
  <mergeCells count="10">
    <mergeCell ref="B40:C40"/>
    <mergeCell ref="B41:C41"/>
    <mergeCell ref="E40:F40"/>
    <mergeCell ref="E41:F41"/>
    <mergeCell ref="B4:C4"/>
    <mergeCell ref="B11:C11"/>
    <mergeCell ref="E4:F4"/>
    <mergeCell ref="E11:F11"/>
    <mergeCell ref="B35:C35"/>
    <mergeCell ref="E35:F35"/>
  </mergeCells>
  <conditionalFormatting sqref="B41">
    <cfRule type="expression" dxfId="27" priority="179" stopIfTrue="1">
      <formula>C$12&lt;=16</formula>
    </cfRule>
    <cfRule type="expression" dxfId="26" priority="180" stopIfTrue="1">
      <formula>$C$12&lt;=24</formula>
    </cfRule>
    <cfRule type="expression" dxfId="25" priority="181" stopIfTrue="1">
      <formula>$C$12&lt;=36</formula>
    </cfRule>
    <cfRule type="expression" dxfId="24" priority="182" stopIfTrue="1">
      <formula>$C$12&lt;=48</formula>
    </cfRule>
    <cfRule type="expression" dxfId="23" priority="183" stopIfTrue="1">
      <formula>$C$12&lt;=64</formula>
    </cfRule>
    <cfRule type="expression" dxfId="22" priority="184" stopIfTrue="1">
      <formula>$C$12&gt;64</formula>
    </cfRule>
  </conditionalFormatting>
  <conditionalFormatting sqref="B41:C41">
    <cfRule type="expression" dxfId="21" priority="2">
      <formula>$C$12&lt;0</formula>
    </cfRule>
  </conditionalFormatting>
  <conditionalFormatting sqref="E41">
    <cfRule type="expression" dxfId="20" priority="3" stopIfTrue="1">
      <formula>F$12&lt;=16</formula>
    </cfRule>
    <cfRule type="expression" dxfId="19" priority="4" stopIfTrue="1">
      <formula>$F$12&lt;=24</formula>
    </cfRule>
    <cfRule type="expression" dxfId="18" priority="5" stopIfTrue="1">
      <formula>$F$12&lt;=36</formula>
    </cfRule>
    <cfRule type="expression" dxfId="17" priority="6" stopIfTrue="1">
      <formula>$F$12&lt;=48</formula>
    </cfRule>
    <cfRule type="expression" dxfId="16" priority="7" stopIfTrue="1">
      <formula>$F$12&lt;=64</formula>
    </cfRule>
    <cfRule type="expression" dxfId="15" priority="8" stopIfTrue="1">
      <formula>$F$12&gt;64</formula>
    </cfRule>
  </conditionalFormatting>
  <conditionalFormatting sqref="E41:F41">
    <cfRule type="expression" dxfId="14" priority="1">
      <formula>$F$12&lt;0</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1650-809A-4178-AAE7-F19387A9A04D}">
  <sheetPr codeName="Sheet9">
    <tabColor theme="4"/>
  </sheetPr>
  <dimension ref="B1:H67"/>
  <sheetViews>
    <sheetView zoomScale="40" zoomScaleNormal="40" workbookViewId="0">
      <selection activeCell="Z22" sqref="Z22"/>
    </sheetView>
  </sheetViews>
  <sheetFormatPr baseColWidth="10" defaultColWidth="9.109375" defaultRowHeight="14.4"/>
  <cols>
    <col min="1" max="1" width="3.109375" style="38" customWidth="1"/>
    <col min="2" max="2" width="49.77734375" style="60" customWidth="1"/>
    <col min="3" max="3" width="40.33203125" style="60" customWidth="1"/>
    <col min="4" max="4" width="5.5546875" style="38" customWidth="1"/>
    <col min="5" max="5" width="52.5546875" style="38" customWidth="1"/>
    <col min="6" max="6" width="40.33203125" style="38" customWidth="1"/>
    <col min="7" max="17" width="8.33203125" style="38" customWidth="1"/>
    <col min="18" max="26" width="8.21875" style="38" customWidth="1"/>
    <col min="27" max="16384" width="9.109375" style="38"/>
  </cols>
  <sheetData>
    <row r="1" spans="2:7" ht="6" customHeight="1" thickBot="1"/>
    <row r="2" spans="2:7" s="1" customFormat="1" ht="42.45" customHeight="1" thickTop="1" thickBot="1">
      <c r="B2" s="1078" t="s">
        <v>182</v>
      </c>
      <c r="C2" s="1079"/>
      <c r="D2" s="60"/>
      <c r="E2" s="1080" t="s">
        <v>137</v>
      </c>
      <c r="F2" s="1081"/>
      <c r="G2" s="60"/>
    </row>
    <row r="3" spans="2:7" s="46" customFormat="1" ht="46.5" customHeight="1" thickTop="1" thickBot="1">
      <c r="B3" s="205" t="s">
        <v>167</v>
      </c>
      <c r="C3" s="260">
        <f ca="1">+'PAGO RETROACTIVO'!E11</f>
        <v>251627.80733916769</v>
      </c>
      <c r="D3" s="1"/>
      <c r="E3" s="221" t="s">
        <v>82</v>
      </c>
      <c r="F3" s="222">
        <f ca="1">IF('SEGUNDO FONDEADOR'!C9&gt;0,IF(('SEGUNDO FONDEADOR'!C9-'SEGUNDO FONDEADOR'!C14)/IF((F5-'MOD 40 REC. VS RETRO.'!C2)&gt;0,F5-'MOD 40 REC. VS RETRO.'!C2,0.01)&gt;0,(('SEGUNDO FONDEADOR'!C9/0.63-'SEGUNDO FONDEADOR'!C14))/(F5-'MOD 40 REC. VS RETRO.'!C2),0.001))</f>
        <v>1E-3</v>
      </c>
      <c r="G3" s="1"/>
    </row>
    <row r="4" spans="2:7" s="46" customFormat="1" ht="7.05" customHeight="1" thickTop="1" thickBot="1">
      <c r="B4" s="1"/>
      <c r="C4" s="1"/>
      <c r="D4" s="60"/>
      <c r="E4" s="38"/>
      <c r="F4" s="60"/>
      <c r="G4" s="60"/>
    </row>
    <row r="5" spans="2:7" s="1" customFormat="1" ht="44.55" customHeight="1" thickTop="1">
      <c r="B5" s="1084" t="s">
        <v>243</v>
      </c>
      <c r="C5" s="1085"/>
      <c r="D5" s="60"/>
      <c r="E5" s="238" t="s">
        <v>238</v>
      </c>
      <c r="F5" s="258">
        <f ca="1">+'MOD 40 REC. VS RETRO.'!F32-FINANCIAMIENTO!C22</f>
        <v>63801.225248500457</v>
      </c>
      <c r="G5" s="60"/>
    </row>
    <row r="6" spans="2:7" s="1" customFormat="1" ht="51.45" customHeight="1" thickBot="1">
      <c r="B6" s="203" t="s">
        <v>199</v>
      </c>
      <c r="C6" s="271">
        <f ca="1">+IF('1'!Y3&lt;C3,'1'!Y3,C3)</f>
        <v>251627.80733916769</v>
      </c>
      <c r="D6" s="38"/>
      <c r="E6" s="219" t="s">
        <v>308</v>
      </c>
      <c r="F6" s="254">
        <f ca="1">+'MOD 40 REC. VS RETRO.'!F32*1.045^5</f>
        <v>95163.033644253388</v>
      </c>
      <c r="G6" s="38"/>
    </row>
    <row r="7" spans="2:7" s="1" customFormat="1" ht="51.45" customHeight="1" thickTop="1" thickBot="1">
      <c r="B7" s="273" t="s">
        <v>200</v>
      </c>
      <c r="C7" s="274">
        <f ca="1">+IF(C3-C6&gt;1,C3-C6,0.00000001)</f>
        <v>1E-8</v>
      </c>
      <c r="D7" s="60"/>
      <c r="E7" s="247" t="s">
        <v>222</v>
      </c>
      <c r="F7" s="250">
        <f ca="1">(+Sheet1!AN247+(80-'DATOS GEN. MOD 40'!C12)*F6)*1.54</f>
        <v>28650844.748332419</v>
      </c>
      <c r="G7" s="60"/>
    </row>
    <row r="8" spans="2:7" s="46" customFormat="1" ht="10.050000000000001" customHeight="1" thickTop="1" thickBot="1">
      <c r="D8" s="60"/>
    </row>
    <row r="9" spans="2:7" s="46" customFormat="1" ht="46.5" customHeight="1" thickTop="1" thickBot="1">
      <c r="B9" s="1084" t="s">
        <v>214</v>
      </c>
      <c r="C9" s="1085"/>
      <c r="D9" s="60"/>
      <c r="E9" s="1088" t="s">
        <v>152</v>
      </c>
      <c r="F9" s="1088"/>
    </row>
    <row r="10" spans="2:7" ht="51.45" customHeight="1" thickTop="1" thickBot="1">
      <c r="B10" s="306" t="s">
        <v>239</v>
      </c>
      <c r="C10" s="305">
        <f ca="1">+C6/C3</f>
        <v>1</v>
      </c>
      <c r="D10" s="60"/>
      <c r="E10" s="1086" t="str">
        <f ca="1">IF(AND(F3&gt;0,F3&lt;=16),"Excelente Inversión",IF(AND(F3&gt;0,F3&lt;=24),"Buena Inversión",IF(AND(F3&gt;0,F3&lt;=36),"Inversión Aceptable",IF(AND(F3&gt;0,F3&lt;=48),"Riesgo Moderado",IF(AND(F3&gt;0,F3&lt;=60),"¡Riesgo Alto!",IF(AND(F3&gt;0,F3&lt;&gt;72),"¡Ten cuidado!","No lo hagas"))))))</f>
        <v>Excelente Inversión</v>
      </c>
      <c r="F10" s="1087"/>
    </row>
    <row r="11" spans="2:7" s="1" customFormat="1" ht="51.45" customHeight="1" thickTop="1" thickBot="1">
      <c r="B11" s="307" t="s">
        <v>240</v>
      </c>
      <c r="C11" s="308">
        <f ca="1">+C7/C3</f>
        <v>3.9741235699443416E-14</v>
      </c>
      <c r="D11" s="60"/>
      <c r="E11" s="1091" t="s">
        <v>319</v>
      </c>
      <c r="F11" s="1091"/>
    </row>
    <row r="12" spans="2:7" ht="25.5" customHeight="1" thickTop="1" thickBot="1">
      <c r="E12" s="1092" t="s">
        <v>465</v>
      </c>
      <c r="F12" s="1092"/>
    </row>
    <row r="13" spans="2:7" s="1" customFormat="1" ht="46.5" customHeight="1" thickTop="1" thickBot="1">
      <c r="B13" s="1089" t="s">
        <v>241</v>
      </c>
      <c r="C13" s="1090"/>
    </row>
    <row r="14" spans="2:7" s="1" customFormat="1" ht="51.45" customHeight="1" thickTop="1">
      <c r="B14" s="238" t="s">
        <v>204</v>
      </c>
      <c r="C14" s="263">
        <f ca="1">+C6</f>
        <v>251627.80733916769</v>
      </c>
      <c r="G14" s="60"/>
    </row>
    <row r="15" spans="2:7" ht="51.45" customHeight="1">
      <c r="B15" s="203" t="s">
        <v>198</v>
      </c>
      <c r="C15" s="444">
        <v>12</v>
      </c>
      <c r="G15" s="60"/>
    </row>
    <row r="16" spans="2:7" ht="51.45" customHeight="1" thickBot="1">
      <c r="B16" s="219" t="s">
        <v>201</v>
      </c>
      <c r="C16" s="264">
        <f ca="1">+C17-C14</f>
        <v>98098.123639522644</v>
      </c>
      <c r="G16" s="60"/>
    </row>
    <row r="17" spans="2:8" ht="49.05" customHeight="1" thickTop="1" thickBot="1">
      <c r="B17" s="205" t="s">
        <v>202</v>
      </c>
      <c r="C17" s="265">
        <f ca="1">+'1'!X3</f>
        <v>349725.93097869033</v>
      </c>
      <c r="G17" s="60"/>
    </row>
    <row r="18" spans="2:8" ht="25.5" customHeight="1" thickTop="1" thickBot="1"/>
    <row r="19" spans="2:8" ht="49.2" customHeight="1" thickTop="1" thickBot="1">
      <c r="B19" s="1084" t="s">
        <v>242</v>
      </c>
      <c r="C19" s="1085"/>
      <c r="E19" s="1"/>
      <c r="F19" s="1"/>
      <c r="G19" s="1"/>
    </row>
    <row r="20" spans="2:8" s="1" customFormat="1" ht="51.45" customHeight="1" thickTop="1">
      <c r="B20" s="253" t="s">
        <v>204</v>
      </c>
      <c r="C20" s="259">
        <f ca="1">CEILING(C17,1000)</f>
        <v>350000</v>
      </c>
      <c r="H20" s="38"/>
    </row>
    <row r="21" spans="2:8" ht="51.45" customHeight="1" thickBot="1">
      <c r="B21" s="251" t="s">
        <v>203</v>
      </c>
      <c r="C21" s="252">
        <v>60</v>
      </c>
      <c r="D21" s="60"/>
      <c r="H21" s="304"/>
    </row>
    <row r="22" spans="2:8" ht="45" customHeight="1" thickTop="1" thickBot="1">
      <c r="B22" s="247" t="s">
        <v>213</v>
      </c>
      <c r="C22" s="262">
        <f ca="1">+_xlfn.FORECAST.LINEAR(C20, '1'!AB3:AB39, '1'!AA3:AA39)</f>
        <v>12562.450687510483</v>
      </c>
      <c r="D22" s="60"/>
      <c r="G22" s="60"/>
    </row>
    <row r="23" spans="2:8" ht="45" customHeight="1" thickTop="1">
      <c r="D23" s="60"/>
      <c r="G23" s="60"/>
    </row>
    <row r="24" spans="2:8" ht="41.55" customHeight="1">
      <c r="D24" s="60"/>
      <c r="G24" s="60"/>
    </row>
    <row r="25" spans="2:8">
      <c r="D25" s="60"/>
      <c r="G25" s="60"/>
    </row>
    <row r="26" spans="2:8">
      <c r="B26" s="1"/>
      <c r="C26" s="1"/>
      <c r="D26" s="60"/>
      <c r="G26" s="60"/>
    </row>
    <row r="27" spans="2:8">
      <c r="D27" s="60"/>
      <c r="G27" s="60"/>
    </row>
    <row r="28" spans="2:8">
      <c r="D28" s="60"/>
      <c r="G28" s="60"/>
    </row>
    <row r="31" spans="2:8">
      <c r="B31" s="38"/>
      <c r="C31" s="38"/>
    </row>
    <row r="32" spans="2:8">
      <c r="B32" s="38"/>
      <c r="C32" s="38"/>
    </row>
    <row r="33" s="38" customFormat="1"/>
    <row r="34" s="38" customFormat="1"/>
    <row r="35" s="38" customFormat="1"/>
    <row r="36" s="38" customFormat="1"/>
    <row r="37" s="38" customFormat="1" ht="43.05" customHeight="1"/>
    <row r="38" s="38" customFormat="1" ht="49.95" customHeight="1"/>
    <row r="39" s="38" customFormat="1" ht="49.95" customHeight="1"/>
    <row r="40" s="38" customFormat="1" ht="4.95" customHeight="1"/>
    <row r="41" s="38" customFormat="1" ht="18.45" customHeight="1"/>
    <row r="42" s="38" customFormat="1" ht="41.55" customHeight="1"/>
    <row r="43" s="38" customFormat="1"/>
    <row r="44" s="38" customFormat="1"/>
    <row r="45" s="38" customFormat="1"/>
    <row r="46" s="38" customFormat="1"/>
    <row r="47" s="38" customFormat="1"/>
    <row r="57" s="38" customFormat="1"/>
    <row r="58" s="38" customFormat="1"/>
    <row r="59" s="38" customFormat="1"/>
    <row r="60" s="38" customFormat="1" ht="24.45" customHeight="1"/>
    <row r="61" s="38" customFormat="1" ht="49.95" customHeight="1"/>
    <row r="65" spans="2:3">
      <c r="B65" s="38"/>
      <c r="C65" s="38"/>
    </row>
    <row r="66" spans="2:3" ht="24.45" customHeight="1">
      <c r="B66" s="38"/>
      <c r="C66" s="38"/>
    </row>
    <row r="67" spans="2:3" ht="43.05" customHeight="1"/>
  </sheetData>
  <sheetProtection algorithmName="SHA-512" hashValue="j/63EuDi/hYSeSfqCvssKJJ5dGErSECrhFku7k0T4Lr6b4ikIDu32GxigXRq6cVQsIGaUZ3R3S9rRm5yA4PaKg==" saltValue="Up7YM8MpITLittyUN90hqg==" spinCount="100000" sheet="1" objects="1" scenarios="1"/>
  <mergeCells count="10">
    <mergeCell ref="B19:C19"/>
    <mergeCell ref="B9:C9"/>
    <mergeCell ref="E10:F10"/>
    <mergeCell ref="E2:F2"/>
    <mergeCell ref="B2:C2"/>
    <mergeCell ref="E9:F9"/>
    <mergeCell ref="B5:C5"/>
    <mergeCell ref="B13:C13"/>
    <mergeCell ref="E11:F11"/>
    <mergeCell ref="E12:F12"/>
  </mergeCells>
  <conditionalFormatting sqref="E10">
    <cfRule type="expression" dxfId="13" priority="202" stopIfTrue="1">
      <formula>F$3&lt;=16</formula>
    </cfRule>
    <cfRule type="expression" dxfId="12" priority="203" stopIfTrue="1">
      <formula>$F$3&lt;=24</formula>
    </cfRule>
    <cfRule type="expression" dxfId="11" priority="204" stopIfTrue="1">
      <formula>$F$3&lt;=36</formula>
    </cfRule>
    <cfRule type="expression" dxfId="10" priority="205" stopIfTrue="1">
      <formula>$F$3&lt;=48</formula>
    </cfRule>
    <cfRule type="expression" dxfId="9" priority="206" stopIfTrue="1">
      <formula>$F$3&lt;=64</formula>
    </cfRule>
    <cfRule type="expression" dxfId="8" priority="207" stopIfTrue="1">
      <formula>$F$3&gt;64</formula>
    </cfRule>
  </conditionalFormatting>
  <conditionalFormatting sqref="E10:F10">
    <cfRule type="expression" dxfId="7" priority="1">
      <formula>F3&lt;0</formula>
    </cfRule>
  </conditionalFormatting>
  <hyperlinks>
    <hyperlink ref="E12" r:id="rId1" display="https://bit.ly/Financiamiento_M40" xr:uid="{41B67885-4BF6-4A78-B35B-7AAC8E806703}"/>
    <hyperlink ref="E12:F12" r:id="rId2" display="https://wa.link/ix6fiu" xr:uid="{C3C69F98-4EFA-4E66-95EE-22B88BBB7E60}"/>
  </hyperlinks>
  <pageMargins left="0.7" right="0.7" top="0.75" bottom="0.75" header="0.3" footer="0.3"/>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2441-6F9B-48E2-891D-E950E36FC1E3}">
  <sheetPr codeName="Sheet10">
    <tabColor theme="4"/>
  </sheetPr>
  <dimension ref="B1:K63"/>
  <sheetViews>
    <sheetView topLeftCell="A4" zoomScale="53" zoomScaleNormal="70" workbookViewId="0">
      <selection activeCell="B10" sqref="B10:C10"/>
    </sheetView>
  </sheetViews>
  <sheetFormatPr baseColWidth="10" defaultColWidth="9.109375" defaultRowHeight="14.4"/>
  <cols>
    <col min="1" max="1" width="2.21875" style="38" customWidth="1"/>
    <col min="2" max="2" width="51.21875" style="38" customWidth="1"/>
    <col min="3" max="3" width="33.5546875" style="38" customWidth="1"/>
    <col min="4" max="4" width="4.88671875" style="38" customWidth="1"/>
    <col min="5" max="5" width="4.21875" style="38" customWidth="1"/>
    <col min="6" max="6" width="47.21875" style="38" customWidth="1"/>
    <col min="7" max="21" width="8.21875" style="38" customWidth="1"/>
    <col min="22" max="16384" width="9.109375" style="38"/>
  </cols>
  <sheetData>
    <row r="1" spans="2:11" ht="7.95" customHeight="1" thickBot="1"/>
    <row r="2" spans="2:11" s="1" customFormat="1" ht="40.200000000000003" customHeight="1" thickTop="1" thickBot="1">
      <c r="B2" s="1089" t="s">
        <v>245</v>
      </c>
      <c r="C2" s="1090"/>
    </row>
    <row r="3" spans="2:11" s="46" customFormat="1" ht="45" customHeight="1" thickTop="1">
      <c r="B3" s="253" t="s">
        <v>204</v>
      </c>
      <c r="C3" s="277">
        <f ca="1">+IF(FINANCIAMIENTO!C7&gt;0,FINANCIAMIENTO!C7,0.0001)</f>
        <v>1E-8</v>
      </c>
    </row>
    <row r="4" spans="2:11" s="1" customFormat="1" ht="44.55" customHeight="1">
      <c r="B4" s="251" t="s">
        <v>203</v>
      </c>
      <c r="C4" s="256">
        <f>+FINANCIAMIENTO!C15</f>
        <v>12</v>
      </c>
    </row>
    <row r="5" spans="2:11" s="1" customFormat="1" ht="45" customHeight="1">
      <c r="B5" s="302" t="s">
        <v>201</v>
      </c>
      <c r="C5" s="281">
        <f ca="1">VLOOKUP(C4,'1'!O75:P86,2,FALSE)</f>
        <v>7.906559999999998E-9</v>
      </c>
    </row>
    <row r="6" spans="2:11" s="1" customFormat="1" ht="49.95" customHeight="1" thickBot="1">
      <c r="B6" s="255" t="s">
        <v>202</v>
      </c>
      <c r="C6" s="275">
        <f ca="1">+C3+C5</f>
        <v>1.7906559999999998E-8</v>
      </c>
      <c r="D6" s="46"/>
      <c r="E6" s="46"/>
      <c r="F6" s="46"/>
      <c r="G6" s="46"/>
      <c r="H6" s="46"/>
      <c r="I6" s="46"/>
      <c r="J6" s="46"/>
      <c r="K6" s="46"/>
    </row>
    <row r="7" spans="2:11" s="46" customFormat="1" ht="19.95" customHeight="1" thickTop="1" thickBot="1">
      <c r="D7" s="20"/>
      <c r="E7" s="282"/>
      <c r="G7" s="22"/>
      <c r="H7" s="1"/>
      <c r="I7" s="1"/>
      <c r="J7" s="1"/>
      <c r="K7" s="1"/>
    </row>
    <row r="8" spans="2:11" s="46" customFormat="1" ht="39.450000000000003" customHeight="1" thickTop="1" thickBot="1">
      <c r="B8" s="1089" t="s">
        <v>211</v>
      </c>
      <c r="C8" s="1090"/>
      <c r="D8" s="20"/>
      <c r="E8" s="282"/>
      <c r="F8" s="303" t="s">
        <v>237</v>
      </c>
      <c r="G8" s="22"/>
      <c r="H8" s="38"/>
      <c r="I8" s="38"/>
      <c r="J8" s="38"/>
      <c r="K8" s="38"/>
    </row>
    <row r="9" spans="2:11" s="1" customFormat="1" ht="49.95" customHeight="1" thickTop="1" thickBot="1">
      <c r="B9" s="205" t="s">
        <v>215</v>
      </c>
      <c r="C9" s="260">
        <f ca="1">+IF(C6-C14&gt;0,C6-C14,0.001)</f>
        <v>1E-3</v>
      </c>
      <c r="D9" s="20"/>
      <c r="E9" s="282"/>
      <c r="F9" s="287"/>
      <c r="G9" s="22"/>
    </row>
    <row r="10" spans="2:11" ht="46.5" customHeight="1" thickTop="1">
      <c r="B10" s="1095" t="s">
        <v>236</v>
      </c>
      <c r="C10" s="1095"/>
      <c r="D10" s="20"/>
      <c r="E10" s="282"/>
      <c r="F10" s="287"/>
      <c r="G10" s="22"/>
      <c r="H10" s="1"/>
      <c r="I10" s="1"/>
      <c r="J10" s="1"/>
      <c r="K10" s="1"/>
    </row>
    <row r="11" spans="2:11" s="1" customFormat="1" ht="19.95" customHeight="1" thickBot="1"/>
    <row r="12" spans="2:11" ht="42.45" customHeight="1" thickTop="1" thickBot="1">
      <c r="B12" s="1089" t="s">
        <v>212</v>
      </c>
      <c r="C12" s="1090"/>
      <c r="D12" s="20"/>
      <c r="E12" s="282"/>
    </row>
    <row r="13" spans="2:11" ht="47.55" customHeight="1" thickTop="1">
      <c r="B13" s="238" t="s">
        <v>244</v>
      </c>
      <c r="C13" s="276">
        <f ca="1">+'PAGO RETROACTIVO'!E11</f>
        <v>251627.80733916769</v>
      </c>
      <c r="D13" s="20"/>
      <c r="E13" s="282"/>
      <c r="F13" s="303" t="s">
        <v>237</v>
      </c>
      <c r="G13" s="20"/>
      <c r="H13" s="282"/>
      <c r="I13" s="282"/>
      <c r="J13" s="22"/>
    </row>
    <row r="14" spans="2:11" ht="62.55" customHeight="1" thickBot="1">
      <c r="B14" s="205" t="s">
        <v>212</v>
      </c>
      <c r="C14" s="260">
        <f ca="1">+'PAGO RETROACTIVO'!E16</f>
        <v>50325.561467833541</v>
      </c>
      <c r="D14" s="20"/>
      <c r="E14" s="282"/>
      <c r="F14" s="287"/>
    </row>
    <row r="15" spans="2:11" ht="49.2" customHeight="1" thickTop="1"/>
    <row r="16" spans="2:11" s="1" customFormat="1" ht="49.95" customHeight="1">
      <c r="B16" s="1096" t="s">
        <v>319</v>
      </c>
      <c r="C16" s="1097"/>
    </row>
    <row r="17" spans="2:9" ht="48" customHeight="1">
      <c r="B17" s="1093" t="s">
        <v>318</v>
      </c>
      <c r="C17" s="1094"/>
    </row>
    <row r="18" spans="2:9" ht="45" customHeight="1"/>
    <row r="19" spans="2:9" ht="45" customHeight="1"/>
    <row r="20" spans="2:9" ht="41.55" customHeight="1"/>
    <row r="29" spans="2:9" s="245" customFormat="1" ht="18">
      <c r="B29" s="38"/>
      <c r="C29" s="38"/>
      <c r="D29" s="38"/>
      <c r="E29" s="38"/>
      <c r="F29" s="38"/>
      <c r="G29" s="38"/>
      <c r="H29" s="38"/>
      <c r="I29" s="38"/>
    </row>
    <row r="30" spans="2:9" s="245" customFormat="1" ht="18">
      <c r="B30" s="38"/>
      <c r="C30" s="38"/>
      <c r="D30" s="38"/>
      <c r="E30" s="38"/>
      <c r="F30" s="38"/>
      <c r="G30" s="38"/>
      <c r="H30" s="38"/>
      <c r="I30" s="38"/>
    </row>
    <row r="31" spans="2:9" s="245" customFormat="1" ht="18">
      <c r="B31" s="38"/>
      <c r="C31" s="38"/>
      <c r="D31" s="38"/>
      <c r="E31" s="38"/>
      <c r="F31" s="38"/>
      <c r="G31" s="38"/>
      <c r="H31" s="38"/>
      <c r="I31" s="38"/>
    </row>
    <row r="32" spans="2:9" s="245" customFormat="1" ht="18">
      <c r="B32" s="38"/>
      <c r="C32" s="38"/>
      <c r="D32" s="38"/>
      <c r="E32" s="38"/>
      <c r="F32" s="38"/>
      <c r="G32" s="38"/>
      <c r="H32" s="38"/>
      <c r="I32" s="38"/>
    </row>
    <row r="33" spans="2:9" s="245" customFormat="1" ht="43.05" customHeight="1">
      <c r="B33" s="38"/>
      <c r="C33" s="38"/>
      <c r="D33" s="38"/>
      <c r="E33" s="38"/>
      <c r="F33" s="38"/>
      <c r="G33" s="38"/>
      <c r="H33" s="38"/>
      <c r="I33" s="38"/>
    </row>
    <row r="34" spans="2:9" s="245" customFormat="1" ht="49.95" customHeight="1">
      <c r="B34" s="38"/>
      <c r="C34" s="38"/>
      <c r="D34" s="38"/>
      <c r="E34" s="38"/>
      <c r="F34" s="38"/>
      <c r="G34" s="38"/>
      <c r="H34" s="38"/>
      <c r="I34" s="38"/>
    </row>
    <row r="35" spans="2:9" s="245" customFormat="1" ht="49.95" customHeight="1">
      <c r="B35" s="38"/>
      <c r="C35" s="38"/>
      <c r="D35" s="38"/>
      <c r="E35" s="38"/>
      <c r="F35" s="38"/>
      <c r="G35" s="38"/>
      <c r="H35" s="38"/>
      <c r="I35" s="38"/>
    </row>
    <row r="36" spans="2:9" s="245" customFormat="1" ht="4.95" customHeight="1">
      <c r="B36" s="38"/>
      <c r="C36" s="38"/>
      <c r="D36" s="38"/>
      <c r="E36" s="38"/>
      <c r="F36" s="38"/>
      <c r="G36" s="38"/>
      <c r="H36" s="38"/>
      <c r="I36" s="38"/>
    </row>
    <row r="37" spans="2:9" s="245" customFormat="1" ht="18.45" customHeight="1">
      <c r="B37" s="38"/>
      <c r="C37" s="38"/>
      <c r="D37" s="38"/>
      <c r="E37" s="38"/>
      <c r="F37" s="38"/>
      <c r="G37" s="38"/>
      <c r="H37" s="38"/>
      <c r="I37" s="38"/>
    </row>
    <row r="38" spans="2:9" s="245" customFormat="1" ht="41.55" customHeight="1">
      <c r="B38" s="38"/>
      <c r="C38" s="38"/>
      <c r="D38" s="38"/>
      <c r="E38" s="38"/>
      <c r="F38" s="38"/>
      <c r="G38" s="38"/>
      <c r="H38" s="38"/>
      <c r="I38" s="38"/>
    </row>
    <row r="39" spans="2:9" s="245" customFormat="1" ht="18">
      <c r="B39" s="38"/>
      <c r="C39" s="38"/>
      <c r="D39" s="38"/>
      <c r="E39" s="38"/>
      <c r="F39" s="38"/>
      <c r="G39" s="38"/>
      <c r="H39" s="38"/>
      <c r="I39" s="38"/>
    </row>
    <row r="40" spans="2:9" s="245" customFormat="1" ht="18">
      <c r="B40" s="38"/>
      <c r="C40" s="38"/>
      <c r="D40" s="38"/>
      <c r="E40" s="38"/>
      <c r="F40" s="38"/>
      <c r="G40" s="38"/>
      <c r="H40" s="38"/>
      <c r="I40" s="38"/>
    </row>
    <row r="41" spans="2:9" s="245" customFormat="1" ht="18">
      <c r="B41" s="38"/>
      <c r="C41" s="38"/>
      <c r="D41" s="38"/>
      <c r="E41" s="38"/>
      <c r="F41" s="38"/>
      <c r="G41" s="38"/>
      <c r="H41" s="38"/>
      <c r="I41" s="38"/>
    </row>
    <row r="42" spans="2:9" s="245" customFormat="1" ht="18">
      <c r="B42" s="38"/>
      <c r="C42" s="38"/>
      <c r="D42" s="38"/>
      <c r="E42" s="38"/>
      <c r="F42" s="38"/>
      <c r="G42" s="38"/>
      <c r="H42" s="38"/>
      <c r="I42" s="38"/>
    </row>
    <row r="43" spans="2:9" s="245" customFormat="1" ht="18">
      <c r="B43" s="38"/>
      <c r="C43" s="38"/>
      <c r="D43" s="38"/>
      <c r="E43" s="38"/>
      <c r="F43" s="38"/>
      <c r="G43" s="38"/>
      <c r="H43" s="38"/>
      <c r="I43" s="38"/>
    </row>
    <row r="53" spans="2:9" s="245" customFormat="1" ht="18">
      <c r="B53" s="38"/>
      <c r="C53" s="38"/>
      <c r="D53" s="38"/>
      <c r="E53" s="38"/>
      <c r="F53" s="38"/>
      <c r="G53" s="38"/>
      <c r="H53" s="38"/>
      <c r="I53" s="38"/>
    </row>
    <row r="54" spans="2:9" s="245" customFormat="1" ht="18">
      <c r="B54" s="38"/>
      <c r="C54" s="38"/>
      <c r="D54" s="38"/>
      <c r="E54" s="38"/>
      <c r="F54" s="38"/>
      <c r="G54" s="38"/>
      <c r="H54" s="38"/>
      <c r="I54" s="38"/>
    </row>
    <row r="55" spans="2:9" s="245" customFormat="1" ht="18">
      <c r="B55" s="38"/>
      <c r="C55" s="38"/>
      <c r="D55" s="38"/>
      <c r="E55" s="38"/>
      <c r="F55" s="38"/>
      <c r="G55" s="38"/>
      <c r="H55" s="38"/>
      <c r="I55" s="38"/>
    </row>
    <row r="56" spans="2:9" s="245" customFormat="1" ht="24.45" customHeight="1">
      <c r="B56" s="38"/>
      <c r="C56" s="38"/>
      <c r="D56" s="38"/>
      <c r="E56" s="38"/>
      <c r="F56" s="38"/>
      <c r="G56" s="38"/>
      <c r="H56" s="38"/>
      <c r="I56" s="38"/>
    </row>
    <row r="57" spans="2:9" s="245" customFormat="1" ht="49.95" customHeight="1">
      <c r="B57" s="38"/>
      <c r="C57" s="38"/>
      <c r="D57" s="38"/>
      <c r="E57" s="38"/>
      <c r="F57" s="38"/>
      <c r="G57" s="38"/>
      <c r="H57" s="38"/>
      <c r="I57" s="38"/>
    </row>
    <row r="61" spans="2:9" s="245" customFormat="1" ht="18">
      <c r="B61" s="38"/>
      <c r="C61" s="38"/>
      <c r="D61" s="38"/>
      <c r="E61" s="38"/>
      <c r="F61" s="38"/>
      <c r="G61" s="38"/>
      <c r="H61" s="38"/>
      <c r="I61" s="38"/>
    </row>
    <row r="62" spans="2:9" s="245" customFormat="1" ht="24.45" customHeight="1">
      <c r="B62" s="38"/>
      <c r="C62" s="38"/>
      <c r="D62" s="38"/>
      <c r="E62" s="38"/>
      <c r="F62" s="38"/>
      <c r="G62" s="38"/>
      <c r="H62" s="38"/>
      <c r="I62" s="38"/>
    </row>
    <row r="63" spans="2:9" s="245" customFormat="1" ht="43.05" customHeight="1">
      <c r="B63" s="38"/>
      <c r="C63" s="38"/>
      <c r="D63" s="38"/>
      <c r="E63" s="38"/>
      <c r="F63" s="38"/>
      <c r="G63" s="38"/>
      <c r="H63" s="38"/>
      <c r="I63" s="38"/>
    </row>
  </sheetData>
  <sheetProtection algorithmName="SHA-512" hashValue="OYRnEBSNT/KPft/vjN+htLrZ8DsLke+RAwplt46mw4wI9rfdFg8WSpzAx6YmLcrkDZmmcpsr7WytLZvaVUH7YQ==" saltValue="jfeV11DBUt2IICBfREnx7A==" spinCount="100000" sheet="1" objects="1" scenarios="1"/>
  <mergeCells count="6">
    <mergeCell ref="B17:C17"/>
    <mergeCell ref="B2:C2"/>
    <mergeCell ref="B12:C12"/>
    <mergeCell ref="B8:C8"/>
    <mergeCell ref="B10:C10"/>
    <mergeCell ref="B16:C16"/>
  </mergeCells>
  <hyperlinks>
    <hyperlink ref="B17" r:id="rId1" xr:uid="{07D79922-6558-4367-B7CF-B74ED6863161}"/>
  </hyperlinks>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F246D-5EDA-4EC3-AAF7-517488009B60}">
  <sheetPr codeName="Sheet11">
    <tabColor theme="4"/>
  </sheetPr>
  <dimension ref="B1:F61"/>
  <sheetViews>
    <sheetView topLeftCell="A5" zoomScale="24" zoomScaleNormal="100" workbookViewId="0">
      <selection activeCell="B38" sqref="B38:F38"/>
    </sheetView>
  </sheetViews>
  <sheetFormatPr baseColWidth="10" defaultColWidth="9.109375" defaultRowHeight="14.4"/>
  <cols>
    <col min="1" max="1" width="3.109375" style="38" customWidth="1"/>
    <col min="2" max="2" width="52.21875" style="38" customWidth="1"/>
    <col min="3" max="3" width="43.33203125" style="38" customWidth="1"/>
    <col min="4" max="4" width="2.5546875" style="38" customWidth="1"/>
    <col min="5" max="5" width="52.21875" style="60" customWidth="1"/>
    <col min="6" max="6" width="43.33203125" style="60" customWidth="1"/>
    <col min="7" max="7" width="6.44140625" style="38" customWidth="1"/>
    <col min="8" max="8" width="20" style="38" customWidth="1"/>
    <col min="9" max="16384" width="9.109375" style="38"/>
  </cols>
  <sheetData>
    <row r="1" spans="2:6" ht="6" customHeight="1" thickBot="1"/>
    <row r="2" spans="2:6" ht="51" customHeight="1" thickTop="1" thickBot="1">
      <c r="B2" s="197" t="s">
        <v>179</v>
      </c>
      <c r="C2" s="209" t="e">
        <f>IF(ISNUMBER('PENSIÓN ACTUAL'!#REF!),'PENSIÓN ACTUAL'!#REF!,'PENSIÓN ACTUAL'!#REF!)</f>
        <v>#REF!</v>
      </c>
      <c r="E2" s="38"/>
      <c r="F2" s="38"/>
    </row>
    <row r="3" spans="2:6" ht="6" customHeight="1" thickTop="1" thickBot="1"/>
    <row r="4" spans="2:6" s="1" customFormat="1" ht="51.45" customHeight="1" thickTop="1" thickBot="1">
      <c r="B4" s="1078" t="s">
        <v>208</v>
      </c>
      <c r="C4" s="1079"/>
      <c r="E4" s="1078" t="s">
        <v>210</v>
      </c>
      <c r="F4" s="1079"/>
    </row>
    <row r="5" spans="2:6" s="46" customFormat="1" ht="37.049999999999997" customHeight="1" thickTop="1">
      <c r="B5" s="201" t="s">
        <v>77</v>
      </c>
      <c r="C5" s="206" t="e">
        <f>+'PENSIÓN ACTUAL'!#REF!</f>
        <v>#REF!</v>
      </c>
      <c r="E5" s="201" t="s">
        <v>77</v>
      </c>
      <c r="F5" s="202">
        <f ca="1">+'PENSION MOD. 40'!D14</f>
        <v>61</v>
      </c>
    </row>
    <row r="6" spans="2:6" s="46" customFormat="1" ht="37.049999999999997" customHeight="1">
      <c r="B6" s="203" t="s">
        <v>167</v>
      </c>
      <c r="C6" s="207">
        <v>0</v>
      </c>
      <c r="E6" s="203" t="s">
        <v>167</v>
      </c>
      <c r="F6" s="204">
        <f ca="1">+FINANCIAMIENTO!C7</f>
        <v>1E-8</v>
      </c>
    </row>
    <row r="7" spans="2:6" s="46" customFormat="1" ht="53.55" customHeight="1">
      <c r="B7" s="203" t="s">
        <v>177</v>
      </c>
      <c r="C7" s="207">
        <v>0</v>
      </c>
      <c r="E7" s="203" t="s">
        <v>177</v>
      </c>
      <c r="F7" s="204">
        <f ca="1">+'SEGUNDO FONDEADOR'!C14</f>
        <v>50325.561467833541</v>
      </c>
    </row>
    <row r="8" spans="2:6" s="1" customFormat="1" ht="50.55" customHeight="1" thickBot="1">
      <c r="B8" s="205" t="s">
        <v>176</v>
      </c>
      <c r="C8" s="218" t="s">
        <v>209</v>
      </c>
      <c r="E8" s="208" t="s">
        <v>246</v>
      </c>
      <c r="F8" s="261">
        <f ca="1">IF(+F6-F7&gt;0,F6-F7,0.1)</f>
        <v>0.1</v>
      </c>
    </row>
    <row r="9" spans="2:6" s="1" customFormat="1" ht="6" customHeight="1" thickTop="1" thickBot="1"/>
    <row r="10" spans="2:6" ht="37.049999999999997" customHeight="1" thickTop="1" thickBot="1">
      <c r="B10" s="1080" t="s">
        <v>137</v>
      </c>
      <c r="C10" s="1081"/>
      <c r="E10" s="1080" t="s">
        <v>137</v>
      </c>
      <c r="F10" s="1081"/>
    </row>
    <row r="11" spans="2:6" ht="50.55" customHeight="1" thickTop="1" thickBot="1">
      <c r="B11" s="221" t="s">
        <v>168</v>
      </c>
      <c r="C11" s="222" t="s">
        <v>209</v>
      </c>
      <c r="E11" s="221" t="s">
        <v>82</v>
      </c>
      <c r="F11" s="272">
        <f ca="1">+FINANCIAMIENTO!F3</f>
        <v>1E-3</v>
      </c>
    </row>
    <row r="12" spans="2:6" s="1" customFormat="1" ht="49.95" customHeight="1" thickTop="1"/>
    <row r="13" spans="2:6" ht="6" customHeight="1"/>
    <row r="14" spans="2:6" ht="50.55" customHeight="1"/>
    <row r="15" spans="2:6" ht="7.05" customHeight="1">
      <c r="E15" s="38"/>
      <c r="F15" s="38"/>
    </row>
    <row r="18" spans="5:6" ht="41.55" customHeight="1"/>
    <row r="31" spans="5:6" ht="43.95" customHeight="1">
      <c r="E31" s="38"/>
      <c r="F31" s="38"/>
    </row>
    <row r="32" spans="5:6" ht="64.2" customHeight="1" thickBot="1">
      <c r="E32" s="38"/>
      <c r="F32" s="38"/>
    </row>
    <row r="33" spans="2:6" ht="38.549999999999997" customHeight="1" thickTop="1" thickBot="1">
      <c r="B33" s="1104" t="s">
        <v>217</v>
      </c>
      <c r="C33" s="1105"/>
      <c r="E33" s="1104" t="s">
        <v>218</v>
      </c>
      <c r="F33" s="1105"/>
    </row>
    <row r="34" spans="2:6" ht="49.5" customHeight="1" thickTop="1" thickBot="1">
      <c r="B34" s="248" t="s">
        <v>180</v>
      </c>
      <c r="C34" s="249" t="e">
        <f>IF(ISNUMBER('PENSIÓN ACTUAL'!#REF!),'PENSIÓN ACTUAL'!#REF!,'PENSIÓN ACTUAL'!#REF!)</f>
        <v>#REF!</v>
      </c>
      <c r="E34" s="238" t="s">
        <v>306</v>
      </c>
      <c r="F34" s="258">
        <f ca="1">+FINANCIAMIENTO!F5</f>
        <v>63801.225248500457</v>
      </c>
    </row>
    <row r="35" spans="2:6" ht="49.5" customHeight="1" thickTop="1" thickBot="1">
      <c r="B35" s="247" t="s">
        <v>222</v>
      </c>
      <c r="C35" s="250" cm="1">
        <f t="array" aca="1" ref="C35:D35" ca="1">+INVERSION!D46:E46</f>
        <v>23909408.453869231</v>
      </c>
      <c r="D35" s="1">
        <f ca="1"/>
        <v>0</v>
      </c>
      <c r="E35" s="219" t="s">
        <v>308</v>
      </c>
      <c r="F35" s="254">
        <f ca="1">+FINANCIAMIENTO!F6</f>
        <v>95163.033644253388</v>
      </c>
    </row>
    <row r="36" spans="2:6" ht="57" customHeight="1" thickTop="1" thickBot="1">
      <c r="D36" s="1"/>
      <c r="E36" s="247" t="s">
        <v>222</v>
      </c>
      <c r="F36" s="250">
        <f ca="1">+FINANCIAMIENTO!F7</f>
        <v>28650844.748332419</v>
      </c>
    </row>
    <row r="37" spans="2:6" ht="13.95" customHeight="1" thickTop="1" thickBot="1"/>
    <row r="38" spans="2:6" ht="49.95" customHeight="1" thickTop="1">
      <c r="B38" s="1107" t="s">
        <v>216</v>
      </c>
      <c r="C38" s="1108"/>
      <c r="D38" s="1108"/>
      <c r="E38" s="1108"/>
      <c r="F38" s="1109"/>
    </row>
    <row r="39" spans="2:6" ht="67.95" customHeight="1" thickBot="1">
      <c r="B39" s="366" t="s">
        <v>296</v>
      </c>
      <c r="C39" s="1111">
        <f ca="1">+F36-C35</f>
        <v>4741436.2944631875</v>
      </c>
      <c r="D39" s="1112"/>
      <c r="E39" s="1112"/>
      <c r="F39" s="365"/>
    </row>
    <row r="40" spans="2:6" ht="67.95" customHeight="1" thickTop="1" thickBot="1">
      <c r="B40" s="367" t="s">
        <v>269</v>
      </c>
      <c r="C40" s="1113" t="str">
        <f ca="1">+IF(FINANCIAMIENTO!C7&lt;1,"GANANCIA ABSOLUTA",C39/FINANCIAMIENTO!C7)</f>
        <v>GANANCIA ABSOLUTA</v>
      </c>
      <c r="D40" s="1113"/>
      <c r="E40" s="1113"/>
      <c r="F40" s="311"/>
    </row>
    <row r="41" spans="2:6" ht="51.75" customHeight="1" thickTop="1">
      <c r="B41" s="1110" t="s">
        <v>219</v>
      </c>
      <c r="C41" s="1110"/>
      <c r="D41" s="1110"/>
      <c r="E41" s="1110"/>
      <c r="F41" s="1110"/>
    </row>
    <row r="42" spans="2:6" ht="13.95" customHeight="1">
      <c r="B42" s="278"/>
      <c r="C42" s="278"/>
      <c r="D42" s="278"/>
      <c r="E42" s="278"/>
      <c r="F42" s="278"/>
    </row>
    <row r="43" spans="2:6" ht="24" customHeight="1" thickBot="1">
      <c r="B43" s="1106" t="s">
        <v>152</v>
      </c>
      <c r="C43" s="1106"/>
      <c r="D43" s="1106"/>
      <c r="E43" s="1106"/>
      <c r="F43" s="1106"/>
    </row>
    <row r="44" spans="2:6" ht="54" customHeight="1" thickTop="1" thickBot="1">
      <c r="B44" s="1101" t="str">
        <f ca="1">IF(AND(F11&gt;0,F11&lt;=16),"Excelente Inversión",IF(AND(F11&gt;0,F11&lt;=24),"Buena Inversión",IF(AND(F11&gt;0,F11&lt;=36),"Inversión Aceptable",IF(AND(F11&gt;0,F11&lt;=48),"Riesgo Moderado",IF(AND(F11&gt;0,F11&lt;=60),"¡Riesgo Alto!",IF(AND(F11&gt;0,F11&lt;&gt;72),"¡Ten cuidado!","No lo hagas"))))))</f>
        <v>Excelente Inversión</v>
      </c>
      <c r="C44" s="1102"/>
      <c r="D44" s="1102"/>
      <c r="E44" s="1102"/>
      <c r="F44" s="1103"/>
    </row>
    <row r="45" spans="2:6" ht="15" thickTop="1"/>
    <row r="46" spans="2:6" ht="47.55" customHeight="1">
      <c r="B46" s="1098" t="s">
        <v>319</v>
      </c>
      <c r="C46" s="1098"/>
    </row>
    <row r="47" spans="2:6" ht="47.55" customHeight="1">
      <c r="B47" s="1099" t="s">
        <v>318</v>
      </c>
      <c r="C47" s="1100"/>
    </row>
    <row r="48" spans="2:6" ht="33.450000000000003" customHeight="1"/>
    <row r="49" spans="5:6" ht="33.450000000000003" customHeight="1">
      <c r="E49" s="38"/>
      <c r="F49" s="38"/>
    </row>
    <row r="50" spans="5:6">
      <c r="E50" s="38"/>
      <c r="F50" s="38"/>
    </row>
    <row r="51" spans="5:6">
      <c r="E51" s="38"/>
      <c r="F51" s="38"/>
    </row>
    <row r="52" spans="5:6">
      <c r="E52" s="38"/>
      <c r="F52" s="38"/>
    </row>
    <row r="53" spans="5:6">
      <c r="E53" s="38"/>
      <c r="F53" s="38"/>
    </row>
    <row r="54" spans="5:6" ht="24.45" customHeight="1">
      <c r="E54" s="38"/>
      <c r="F54" s="38"/>
    </row>
    <row r="55" spans="5:6" ht="49.95" customHeight="1"/>
    <row r="58" spans="5:6">
      <c r="E58" s="38"/>
      <c r="F58" s="38"/>
    </row>
    <row r="59" spans="5:6">
      <c r="E59" s="38"/>
      <c r="F59" s="38"/>
    </row>
    <row r="60" spans="5:6" ht="24.45" customHeight="1"/>
    <row r="61" spans="5:6" ht="43.05" customHeight="1"/>
  </sheetData>
  <sheetProtection algorithmName="SHA-512" hashValue="Xeu8mXQ4gsQf1V+o+IuBmYzBQbOSZO9wC8X9BpuWUAQKWbSNLNeL78fePaZXIah5sGS7IJ31In1kwgR0esLR3w==" saltValue="hFWV6Zhq76mL3uu0dUq/Cw==" spinCount="100000" sheet="1" objects="1" scenarios="1"/>
  <mergeCells count="14">
    <mergeCell ref="B46:C46"/>
    <mergeCell ref="B47:C47"/>
    <mergeCell ref="B4:C4"/>
    <mergeCell ref="E4:F4"/>
    <mergeCell ref="B10:C10"/>
    <mergeCell ref="E10:F10"/>
    <mergeCell ref="B44:F44"/>
    <mergeCell ref="B33:C33"/>
    <mergeCell ref="E33:F33"/>
    <mergeCell ref="B43:F43"/>
    <mergeCell ref="B38:F38"/>
    <mergeCell ref="B41:F41"/>
    <mergeCell ref="C39:E39"/>
    <mergeCell ref="C40:E40"/>
  </mergeCells>
  <conditionalFormatting sqref="B44">
    <cfRule type="expression" dxfId="6" priority="2" stopIfTrue="1">
      <formula>F$11&lt;=16</formula>
    </cfRule>
    <cfRule type="expression" dxfId="5" priority="3" stopIfTrue="1">
      <formula>$F$11&lt;=24</formula>
    </cfRule>
    <cfRule type="expression" dxfId="4" priority="4" stopIfTrue="1">
      <formula>$F$11&lt;=36</formula>
    </cfRule>
    <cfRule type="expression" dxfId="3" priority="5" stopIfTrue="1">
      <formula>$F$11&lt;=48</formula>
    </cfRule>
    <cfRule type="expression" dxfId="2" priority="6" stopIfTrue="1">
      <formula>$F$11&lt;=64</formula>
    </cfRule>
    <cfRule type="expression" dxfId="1" priority="7" stopIfTrue="1">
      <formula>$F$11&gt;64</formula>
    </cfRule>
    <cfRule type="expression" dxfId="0" priority="209">
      <formula>F11&lt;0</formula>
    </cfRule>
  </conditionalFormatting>
  <hyperlinks>
    <hyperlink ref="B47" r:id="rId1" xr:uid="{AB06AF29-B5EC-41C4-BCCF-0E75FCDE5625}"/>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207E-15DB-48A1-8881-BF301A9F9923}">
  <sheetPr codeName="Sheet15">
    <tabColor rgb="FFFFFF00"/>
  </sheetPr>
  <dimension ref="A1:C47"/>
  <sheetViews>
    <sheetView showGridLines="0" topLeftCell="A33" zoomScaleNormal="100" zoomScalePageLayoutView="101" workbookViewId="0">
      <selection activeCell="F44" sqref="F44"/>
    </sheetView>
  </sheetViews>
  <sheetFormatPr baseColWidth="10" defaultColWidth="9.109375" defaultRowHeight="12"/>
  <cols>
    <col min="1" max="1" width="2.44140625" style="343" customWidth="1"/>
    <col min="2" max="2" width="29.5546875" style="340" customWidth="1"/>
    <col min="3" max="3" width="18.33203125" style="342" customWidth="1"/>
    <col min="4" max="4" width="12.77734375" style="339" customWidth="1"/>
    <col min="5" max="16384" width="9.109375" style="339"/>
  </cols>
  <sheetData>
    <row r="1" spans="1:3" ht="14.25" customHeight="1" thickBot="1"/>
    <row r="2" spans="1:3" s="341" customFormat="1" ht="28.2" customHeight="1" thickBot="1">
      <c r="A2" s="344"/>
      <c r="B2" s="345"/>
      <c r="C2" s="346" t="s">
        <v>259</v>
      </c>
    </row>
    <row r="3" spans="1:3" s="342" customFormat="1" ht="17.7" customHeight="1">
      <c r="A3" s="1114" t="s">
        <v>266</v>
      </c>
      <c r="B3" s="350" t="s">
        <v>271</v>
      </c>
      <c r="C3" s="643">
        <f>+'DATOS GEN.'!E18</f>
        <v>61</v>
      </c>
    </row>
    <row r="4" spans="1:3" s="342" customFormat="1" ht="17.7" customHeight="1">
      <c r="A4" s="1115"/>
      <c r="B4" s="347" t="s">
        <v>278</v>
      </c>
      <c r="C4" s="644">
        <f>+'DATOS GEN.'!E22</f>
        <v>1960</v>
      </c>
    </row>
    <row r="5" spans="1:3" s="342" customFormat="1" ht="17.7" customHeight="1">
      <c r="A5" s="1115"/>
      <c r="B5" s="351" t="s">
        <v>267</v>
      </c>
      <c r="C5" s="645">
        <f>+'DATOS GEN.'!E20</f>
        <v>2281.5311428571431</v>
      </c>
    </row>
    <row r="6" spans="1:3" ht="17.7" customHeight="1" thickBot="1">
      <c r="A6" s="1116"/>
      <c r="B6" s="348" t="s">
        <v>272</v>
      </c>
      <c r="C6" s="646">
        <f ca="1">+'PENSIÓN ACTUAL'!C22</f>
        <v>62856.639291942876</v>
      </c>
    </row>
    <row r="7" spans="1:3" ht="17.7" customHeight="1">
      <c r="A7" s="1117" t="s">
        <v>277</v>
      </c>
      <c r="B7" s="656" t="s">
        <v>281</v>
      </c>
      <c r="C7" s="647">
        <f ca="1">+'PENSION MOD. 40'!C26</f>
        <v>73278.644982257887</v>
      </c>
    </row>
    <row r="8" spans="1:3" ht="17.7" customHeight="1">
      <c r="A8" s="1118"/>
      <c r="B8" s="642" t="s">
        <v>423</v>
      </c>
      <c r="C8" s="660">
        <f ca="1">+'PENSION MOD. 40'!C30</f>
        <v>76363.675936010943</v>
      </c>
    </row>
    <row r="9" spans="1:3" ht="17.7" customHeight="1">
      <c r="A9" s="1118"/>
      <c r="B9" s="657" t="s">
        <v>268</v>
      </c>
      <c r="C9" s="648">
        <f ca="1">+'DATOS GEN. MOD 40'!C7/52.019</f>
        <v>1.0023809981517744</v>
      </c>
    </row>
    <row r="10" spans="1:3" ht="17.7" customHeight="1">
      <c r="A10" s="1118"/>
      <c r="B10" s="658" t="s">
        <v>435</v>
      </c>
      <c r="C10" s="649">
        <f>+'SAL. PROM MOD 40'!E10</f>
        <v>25</v>
      </c>
    </row>
    <row r="11" spans="1:3" ht="17.7" customHeight="1">
      <c r="A11" s="1118"/>
      <c r="B11" s="657" t="s">
        <v>333</v>
      </c>
      <c r="C11" s="650">
        <f ca="1">+'SAL. PROM MOD 40'!E17</f>
        <v>3346.7549530937495</v>
      </c>
    </row>
    <row r="12" spans="1:3" ht="17.7" customHeight="1">
      <c r="A12" s="1118"/>
      <c r="B12" s="658" t="s">
        <v>273</v>
      </c>
      <c r="C12" s="652">
        <f ca="1">+'COSTO MOD. 40'!G15</f>
        <v>217458.95063751665</v>
      </c>
    </row>
    <row r="13" spans="1:3" ht="17.7" customHeight="1">
      <c r="A13" s="1118"/>
      <c r="B13" s="657" t="s">
        <v>328</v>
      </c>
      <c r="C13" s="690">
        <f>+'SAL. PROM MOD 40'!E13</f>
        <v>46784</v>
      </c>
    </row>
    <row r="14" spans="1:3" ht="17.7" customHeight="1">
      <c r="A14" s="1118"/>
      <c r="B14" s="658" t="s">
        <v>312</v>
      </c>
      <c r="C14" s="689">
        <f>YEARFRAC('DATOS GEN.'!E5,'SAL. PROM MOD 40'!E13,1)</f>
        <v>59.003422313483917</v>
      </c>
    </row>
    <row r="15" spans="1:3" ht="17.7" customHeight="1">
      <c r="A15" s="1118"/>
      <c r="B15" s="657" t="s">
        <v>329</v>
      </c>
      <c r="C15" s="520">
        <f>+'SAL. PROM MOD 40'!E14</f>
        <v>47329</v>
      </c>
    </row>
    <row r="16" spans="1:3" ht="17.7" customHeight="1">
      <c r="A16" s="1118"/>
      <c r="B16" s="658" t="s">
        <v>293</v>
      </c>
      <c r="C16" s="689">
        <f ca="1">+'DATOS GEN. MOD 40'!C12</f>
        <v>61</v>
      </c>
    </row>
    <row r="17" spans="1:3" ht="17.7" customHeight="1">
      <c r="A17" s="1118"/>
      <c r="B17" s="657" t="s">
        <v>436</v>
      </c>
      <c r="C17" s="645">
        <f ca="1">+'DATOS GEN. MOD 40'!C16</f>
        <v>2012.1428571428571</v>
      </c>
    </row>
    <row r="18" spans="1:3" ht="17.7" customHeight="1">
      <c r="A18" s="1118"/>
      <c r="B18" s="691" t="s">
        <v>279</v>
      </c>
      <c r="C18" s="692">
        <f ca="1">+'DATOS GEN. MOD 40'!C14</f>
        <v>2582.2906045024106</v>
      </c>
    </row>
    <row r="19" spans="1:3" ht="17.7" customHeight="1">
      <c r="A19" s="1118"/>
      <c r="B19" s="657" t="s">
        <v>274</v>
      </c>
      <c r="C19" s="651">
        <f ca="1">+'COSTO MOD. 40'!G17</f>
        <v>43165.601701547057</v>
      </c>
    </row>
    <row r="20" spans="1:3" ht="17.7" customHeight="1">
      <c r="A20" s="1118"/>
      <c r="B20" s="691" t="s">
        <v>275</v>
      </c>
      <c r="C20" s="692">
        <f ca="1">+'COSTO MOD. 40'!G19</f>
        <v>174293.34893596958</v>
      </c>
    </row>
    <row r="21" spans="1:3" ht="17.7" customHeight="1">
      <c r="A21" s="1118"/>
      <c r="B21" s="657" t="s">
        <v>294</v>
      </c>
      <c r="C21" s="648">
        <f ca="1">+INVERSION!F9</f>
        <v>12.903892506467331</v>
      </c>
    </row>
    <row r="22" spans="1:3" ht="17.7" customHeight="1">
      <c r="A22" s="1118"/>
      <c r="B22" s="691" t="s">
        <v>276</v>
      </c>
      <c r="C22" s="692">
        <f ca="1">+INVERSION!D49</f>
        <v>4986994.9022507556</v>
      </c>
    </row>
    <row r="23" spans="1:3" ht="17.7" customHeight="1">
      <c r="A23" s="1118"/>
      <c r="B23" s="657" t="s">
        <v>270</v>
      </c>
      <c r="C23" s="653">
        <f ca="1">+INVERSION!D50</f>
        <v>22.933040408916536</v>
      </c>
    </row>
    <row r="24" spans="1:3" ht="17.7" customHeight="1" thickBot="1">
      <c r="A24" s="1118"/>
      <c r="B24" s="693" t="s">
        <v>437</v>
      </c>
      <c r="C24" s="694">
        <f ca="1">IF(
   ('FACT. + ASIG. MOD.40'!C30*1.11*'PENSION MOD. 40'!D16/12) &gt; ('FACT. + ASIG. MOD.40'!C6*365*1.11/12),
   ('FACT. + ASIG. MOD.40'!C30*1.11*'PENSION MOD. 40'!D16/12),
   ('FACT. + ASIG. MOD.40'!C6*365*1.11/12)
)</f>
        <v>65071.436744245009</v>
      </c>
    </row>
    <row r="25" spans="1:3" ht="17.7" customHeight="1">
      <c r="A25" s="1119" t="s">
        <v>280</v>
      </c>
      <c r="B25" s="657" t="s">
        <v>283</v>
      </c>
      <c r="C25" s="651">
        <f ca="1">+'PAGO RETROACTIVO'!E11</f>
        <v>251627.80733916769</v>
      </c>
    </row>
    <row r="26" spans="1:3" ht="17.7" customHeight="1">
      <c r="A26" s="1120"/>
      <c r="B26" s="658" t="s">
        <v>274</v>
      </c>
      <c r="C26" s="652">
        <f ca="1">+'PAGO RETROACTIVO'!E16</f>
        <v>50325.561467833541</v>
      </c>
    </row>
    <row r="27" spans="1:3" ht="17.7" customHeight="1">
      <c r="A27" s="1120"/>
      <c r="B27" s="657" t="s">
        <v>275</v>
      </c>
      <c r="C27" s="651">
        <f ca="1">+'PAGO RETROACTIVO'!E17</f>
        <v>201302.24587133416</v>
      </c>
    </row>
    <row r="28" spans="1:3" ht="17.7" customHeight="1">
      <c r="A28" s="1120"/>
      <c r="B28" s="658" t="s">
        <v>294</v>
      </c>
      <c r="C28" s="654">
        <f ca="1">+'MOD 40 REC. VS RETRO.'!F12</f>
        <v>14.903509272682752</v>
      </c>
    </row>
    <row r="29" spans="1:3" ht="17.7" customHeight="1">
      <c r="A29" s="1120"/>
      <c r="B29" s="657" t="s">
        <v>282</v>
      </c>
      <c r="C29" s="651">
        <f ca="1">+'MOD 40 REC. VS RETRO.'!F36</f>
        <v>4945401.2009702958</v>
      </c>
    </row>
    <row r="30" spans="1:3" ht="17.7" customHeight="1" thickBot="1">
      <c r="A30" s="1121"/>
      <c r="B30" s="659" t="s">
        <v>270</v>
      </c>
      <c r="C30" s="655">
        <f ca="1">+'MOD 40 REC. VS RETRO.'!F37</f>
        <v>24.567044344508879</v>
      </c>
    </row>
    <row r="31" spans="1:3" ht="17.7" customHeight="1">
      <c r="A31" s="1122" t="s">
        <v>284</v>
      </c>
      <c r="B31" s="349" t="s">
        <v>285</v>
      </c>
      <c r="C31" s="357">
        <f ca="1">+'PAGO RETROACTIVO'!E11</f>
        <v>251627.80733916769</v>
      </c>
    </row>
    <row r="32" spans="1:3" ht="17.7" customHeight="1">
      <c r="A32" s="1123"/>
      <c r="B32" s="351" t="s">
        <v>274</v>
      </c>
      <c r="C32" s="358">
        <f ca="1">+'PAGO RETROACTIVO'!E16</f>
        <v>50325.561467833541</v>
      </c>
    </row>
    <row r="33" spans="1:3" ht="17.7" customHeight="1">
      <c r="A33" s="1123"/>
      <c r="B33" s="347" t="s">
        <v>286</v>
      </c>
      <c r="C33" s="354">
        <f ca="1">+FINANCIAMIENTO!C6</f>
        <v>251627.80733916769</v>
      </c>
    </row>
    <row r="34" spans="1:3" ht="17.7" customHeight="1">
      <c r="A34" s="1123"/>
      <c r="B34" s="351" t="s">
        <v>287</v>
      </c>
      <c r="C34" s="358">
        <f ca="1">+FINANCIAMIENTO!C7</f>
        <v>1E-8</v>
      </c>
    </row>
    <row r="35" spans="1:3" ht="17.7" customHeight="1">
      <c r="A35" s="1123"/>
      <c r="B35" s="347" t="s">
        <v>297</v>
      </c>
      <c r="C35" s="354">
        <f ca="1">+'SEGUNDO FONDEADOR'!C9</f>
        <v>1E-3</v>
      </c>
    </row>
    <row r="36" spans="1:3" ht="17.7" customHeight="1">
      <c r="A36" s="1123"/>
      <c r="B36" s="351" t="s">
        <v>288</v>
      </c>
      <c r="C36" s="358">
        <f ca="1">+'Datos-proyecto'!C6</f>
        <v>62856.639291942876</v>
      </c>
    </row>
    <row r="37" spans="1:3" ht="17.7" customHeight="1">
      <c r="A37" s="1123"/>
      <c r="B37" s="347" t="s">
        <v>289</v>
      </c>
      <c r="C37" s="354">
        <f ca="1">+C7</f>
        <v>73278.644982257887</v>
      </c>
    </row>
    <row r="38" spans="1:3" ht="17.7" customHeight="1">
      <c r="A38" s="1123"/>
      <c r="B38" s="351" t="s">
        <v>290</v>
      </c>
      <c r="C38" s="358">
        <f ca="1">+C37-C36</f>
        <v>10422.005690315011</v>
      </c>
    </row>
    <row r="39" spans="1:3" ht="17.7" customHeight="1">
      <c r="A39" s="1123"/>
      <c r="B39" s="347" t="s">
        <v>291</v>
      </c>
      <c r="C39" s="354">
        <f ca="1">+FINANCIAMIENTO!C22</f>
        <v>12562.450687510483</v>
      </c>
    </row>
    <row r="40" spans="1:3" ht="17.7" customHeight="1">
      <c r="A40" s="1123"/>
      <c r="B40" s="351" t="s">
        <v>292</v>
      </c>
      <c r="C40" s="358">
        <f ca="1">+C37-C39</f>
        <v>60716.194294747402</v>
      </c>
    </row>
    <row r="41" spans="1:3" ht="17.7" customHeight="1">
      <c r="A41" s="1123"/>
      <c r="B41" s="347" t="s">
        <v>295</v>
      </c>
      <c r="C41" s="354">
        <f ca="1">+C37*1.045^5</f>
        <v>91318.523792585533</v>
      </c>
    </row>
    <row r="42" spans="1:3" ht="17.7" customHeight="1">
      <c r="A42" s="1123"/>
      <c r="B42" s="351" t="s">
        <v>294</v>
      </c>
      <c r="C42" s="353">
        <f ca="1">+FINANCIAMIENTO!F3</f>
        <v>1E-3</v>
      </c>
    </row>
    <row r="43" spans="1:3" ht="17.7" customHeight="1" thickBot="1">
      <c r="A43" s="1124"/>
      <c r="B43" s="352" t="s">
        <v>270</v>
      </c>
      <c r="C43" s="369" t="str">
        <f ca="1">+'PENSIÓN SIN-CON FIN.'!C40</f>
        <v>GANANCIA ABSOLUTA</v>
      </c>
    </row>
    <row r="44" spans="1:3" ht="24.45" customHeight="1">
      <c r="B44" s="339"/>
      <c r="C44" s="339"/>
    </row>
    <row r="45" spans="1:3" ht="24.45" customHeight="1">
      <c r="B45" s="339"/>
      <c r="C45" s="339"/>
    </row>
    <row r="46" spans="1:3" ht="24.45" customHeight="1">
      <c r="B46" s="339"/>
      <c r="C46" s="339"/>
    </row>
    <row r="47" spans="1:3" ht="20.7" customHeight="1">
      <c r="B47" s="339"/>
      <c r="C47" s="339"/>
    </row>
  </sheetData>
  <sheetProtection algorithmName="SHA-512" hashValue="d6Nd955tv5FSjt0AQ2AID+UIqBUDZXKtIsy15J+Y2pRlMUyr782Kc29Vf5lUxB19FN8C6k1Uj4uRDIWNM5QQQg==" saltValue="fPof7NAUnNeRiKR3p4N/HQ==" spinCount="100000" sheet="1" objects="1" scenarios="1"/>
  <mergeCells count="4">
    <mergeCell ref="A3:A6"/>
    <mergeCell ref="A7:A24"/>
    <mergeCell ref="A25:A30"/>
    <mergeCell ref="A31:A43"/>
  </mergeCells>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58340-0D7D-4411-97CF-2BE7335632A3}">
  <sheetPr codeName="Sheet13">
    <tabColor theme="7"/>
  </sheetPr>
  <dimension ref="A1:X62"/>
  <sheetViews>
    <sheetView topLeftCell="L20" zoomScale="155" zoomScaleNormal="91" workbookViewId="0">
      <selection activeCell="R26" sqref="R26"/>
    </sheetView>
  </sheetViews>
  <sheetFormatPr baseColWidth="10" defaultColWidth="8.77734375" defaultRowHeight="14.4"/>
  <cols>
    <col min="1" max="1" width="13.44140625" customWidth="1"/>
    <col min="2" max="2" width="12.21875" customWidth="1"/>
    <col min="3" max="3" width="10.44140625" bestFit="1" customWidth="1"/>
    <col min="4" max="5" width="13.21875" customWidth="1"/>
    <col min="6" max="6" width="13" style="192" customWidth="1"/>
    <col min="7" max="8" width="9.109375" style="179" customWidth="1"/>
    <col min="9" max="9" width="13" style="193" customWidth="1"/>
    <col min="10" max="11" width="8.5546875" style="184" customWidth="1"/>
    <col min="12" max="12" width="13" style="178" customWidth="1"/>
    <col min="14" max="14" width="13" style="192" customWidth="1"/>
    <col min="15" max="16" width="9.109375" style="179" customWidth="1"/>
    <col min="17" max="17" width="13" style="193" customWidth="1"/>
    <col min="18" max="19" width="8.5546875" style="184" customWidth="1"/>
    <col min="20" max="20" width="13" style="178" customWidth="1"/>
    <col min="21" max="21" width="15.44140625" customWidth="1"/>
    <col min="22" max="22" width="15.44140625" style="177" customWidth="1"/>
    <col min="23" max="23" width="11.88671875" style="177" customWidth="1"/>
    <col min="24" max="24" width="10.5546875" customWidth="1"/>
  </cols>
  <sheetData>
    <row r="1" spans="1:24">
      <c r="A1" t="s">
        <v>157</v>
      </c>
      <c r="B1" s="188" t="e">
        <f>+#REF!</f>
        <v>#REF!</v>
      </c>
      <c r="F1" s="1125" t="s">
        <v>162</v>
      </c>
      <c r="G1" s="1125"/>
      <c r="H1" s="1125"/>
      <c r="I1" s="1125"/>
      <c r="J1" s="1125"/>
      <c r="K1" s="1125"/>
      <c r="L1" s="1125"/>
      <c r="N1" s="1125" t="s">
        <v>162</v>
      </c>
      <c r="O1" s="1125"/>
      <c r="P1" s="1125"/>
      <c r="Q1" s="1125"/>
      <c r="R1" s="1125"/>
      <c r="S1" s="1125"/>
      <c r="T1" s="1125"/>
    </row>
    <row r="2" spans="1:24">
      <c r="F2" s="192">
        <f ca="1">+N2</f>
        <v>47146</v>
      </c>
      <c r="G2" s="179">
        <f>+O2</f>
        <v>12</v>
      </c>
      <c r="H2" s="179">
        <f>+P2</f>
        <v>12</v>
      </c>
      <c r="I2" s="193">
        <f ca="1">IF(YEAR(F2)&gt;=$V$19,$W$19,IF(YEAR(F2)=$V$18,$W$18,IF(YEAR(F2)=$V$17,$W$17,IF(YEAR(F2)=$V$16,$W$16,IF(YEAR(F2)=$V$15,$W$15,IF(YEAR(F2)=$V$14,$W$14,IF(YEAR(F2)=$V$13,$W$13,IF(YEAR(F2)=$V$12,$W$12,IF(YEAR(F2)=$V$11,$W$11,IF(YEAR(F2)=$V$10,$W$10,IF(YEAR(F2)=$V$9,$W$9,IF(YEAR(F2)=$V$8,$W$8,IF(YEAR(F2)=$V$7,$W$7,"SIN DATOS")))))))))))))</f>
        <v>18027.253720402568</v>
      </c>
      <c r="J2" s="184">
        <f ca="1">IF(YEAR(F2)=2019,0.30333%,IF(YEAR(F2)=2020,0.2625%,IF(YEAR(F2)=2021,0.5%,IF(YEAR(F2)=2022,0.65166%,IF(YEAR(F2)=2023,0.38833%,IF(YEAR(F2)=2024,0.43%,IF(YEAR(F2)&gt;2024,0.36%,"SIN DATOS")))))))</f>
        <v>3.5999999999999999E-3</v>
      </c>
      <c r="K2" s="184">
        <f t="shared" ref="K2:K33" ca="1" si="0">+G2*J2</f>
        <v>4.3200000000000002E-2</v>
      </c>
      <c r="L2" s="178">
        <f ca="1">+I2*K2</f>
        <v>778.77736072139101</v>
      </c>
      <c r="N2" s="192">
        <f ca="1">IF(P2&gt;1,
   EDATE(N3,-1),
   IF(P2=1,
      EDATE('SAL. PROM MOD 40'!$C$22,-1),
      ""
   )
)</f>
        <v>47146</v>
      </c>
      <c r="O2" s="179">
        <f>IF((+'SAL. PROM MOD 40'!E8*12+'SAL. PROM MOD 40'!F8)&gt;0,+'SAL. PROM MOD 40'!E8*12+'SAL. PROM MOD 40'!F8,0)</f>
        <v>12</v>
      </c>
      <c r="P2" s="179">
        <f>IF(('SAL. PROM MOD 40'!$E$8*12+'SAL. PROM MOD 40'!$F$8)&gt;='2'!O2-0.5,O2,0)</f>
        <v>12</v>
      </c>
      <c r="Q2" s="193">
        <f ca="1">IF(YEAR(N2)&gt;=$V$19,$W$19,IF(YEAR(N2)=$V$18,$W$18,IF(YEAR(N2)=$V$17,$W$17,IF(YEAR(N2)=$V$16,$W$16,IF(YEAR(N2)=$V$15,$W$15,IF(YEAR(N2)=$V$14,$W$14,IF(YEAR(N2)=$V$13,$W$13,IF(YEAR(N2)=$V$12,$W$12,IF(YEAR(N2)=$V$11,$W$11,IF(YEAR(N2)=$V$10,$W$10,IF(YEAR(N2)=$V$9,$W$9,IF(YEAR(N2)=$V$8,$W$8,IF(YEAR(N2)=$V$7,$W$7,"SIN DATOS")))))))))))))</f>
        <v>18027.253720402568</v>
      </c>
      <c r="R2" s="184">
        <f ca="1">IF(YEAR(N2)&lt;2026,0.0147,0.0207)</f>
        <v>2.07E-2</v>
      </c>
      <c r="S2" s="184">
        <f t="shared" ref="S2:S33" ca="1" si="1">+O2*R2</f>
        <v>0.24840000000000001</v>
      </c>
      <c r="T2" s="178">
        <f ca="1">+Q2*S2</f>
        <v>4477.9698241479982</v>
      </c>
    </row>
    <row r="3" spans="1:24">
      <c r="A3" t="s">
        <v>158</v>
      </c>
      <c r="B3" s="176">
        <v>36</v>
      </c>
      <c r="C3" s="190">
        <f>0.00171*B3+1.003</f>
        <v>1.06456</v>
      </c>
      <c r="D3" s="189" t="e">
        <f ca="1">IF(AND('SAL. PROM MOD 40'!$B$22&gt;DATE(2021,1,1),'SAL. PROM MOD 40'!$B$22&lt;DATE(2024,7,31)),(+C3-1)*B1,(C4-1)*B1)</f>
        <v>#REF!</v>
      </c>
      <c r="E3" s="189"/>
      <c r="F3" s="192">
        <f t="shared" ref="F3:F61" ca="1" si="2">+N3</f>
        <v>47177</v>
      </c>
      <c r="G3" s="179">
        <f t="shared" ref="G3:G61" si="3">+O3</f>
        <v>11</v>
      </c>
      <c r="H3" s="179">
        <f t="shared" ref="H3:H61" si="4">+P3</f>
        <v>11</v>
      </c>
      <c r="I3" s="193">
        <f t="shared" ref="I3:I61" ca="1" si="5">IF(YEAR(F3)&gt;=$V$19,$W$19,IF(YEAR(F3)=$V$18,$W$18,IF(YEAR(F3)=$V$17,$W$17,IF(YEAR(F3)=$V$16,$W$16,IF(YEAR(F3)=$V$15,$W$15,IF(YEAR(F3)=$V$14,$W$14,IF(YEAR(F3)=$V$13,$W$13,IF(YEAR(F3)=$V$12,$W$12,IF(YEAR(F3)=$V$11,$W$11,IF(YEAR(F3)=$V$10,$W$10,IF(YEAR(F3)=$V$9,$W$9,IF(YEAR(F3)=$V$8,$W$8,IF(YEAR(F3)=$V$7,$W$7,"SIN DATOS")))))))))))))</f>
        <v>18027.253720402568</v>
      </c>
      <c r="J3" s="184">
        <f t="shared" ref="J3:J61" ca="1" si="6">IF(YEAR(F3)=2019,0.30333%,IF(YEAR(F3)=2020,0.2625%,IF(YEAR(F3)=2021,0.5%,IF(YEAR(F3)=2022,0.65166%,IF(YEAR(F3)=2023,0.38833%,IF(YEAR(F3)=2024,0.43%,IF(YEAR(F3)&gt;2024,0.36%,"SIN DATOS")))))))</f>
        <v>3.5999999999999999E-3</v>
      </c>
      <c r="K3" s="184">
        <f t="shared" ca="1" si="0"/>
        <v>3.9599999999999996E-2</v>
      </c>
      <c r="L3" s="178">
        <f t="shared" ref="L3:L61" ca="1" si="7">+I3*K3</f>
        <v>713.8792473279417</v>
      </c>
      <c r="N3" s="192">
        <f ca="1">IF(P3&gt;1,
   EDATE(N4,-1),
   IF(P3=1,
      EDATE('SAL. PROM MOD 40'!$C$22,-1),
      ""
   )
)</f>
        <v>47177</v>
      </c>
      <c r="O3" s="179">
        <f>IF((O2-1)&gt;0,O2-1,0)</f>
        <v>11</v>
      </c>
      <c r="P3" s="179">
        <f>IF(('SAL. PROM MOD 40'!$E$8*12+'SAL. PROM MOD 40'!$F$8)&gt;='2'!O3-0.5,O3,0)</f>
        <v>11</v>
      </c>
      <c r="Q3" s="193">
        <f t="shared" ref="Q3:Q61" ca="1" si="8">IF(YEAR(N3)&gt;=$V$19,$W$19,IF(YEAR(N3)=$V$18,$W$18,IF(YEAR(N3)=$V$17,$W$17,IF(YEAR(N3)=$V$16,$W$16,IF(YEAR(N3)=$V$15,$W$15,IF(YEAR(N3)=$V$14,$W$14,IF(YEAR(N3)=$V$13,$W$13,IF(YEAR(N3)=$V$12,$W$12,IF(YEAR(N3)=$V$11,$W$11,IF(YEAR(N3)=$V$10,$W$10,IF(YEAR(N3)=$V$9,$W$9,IF(YEAR(N3)=$V$8,$W$8,IF(YEAR(N3)=$V$7,$W$7,"SIN DATOS")))))))))))))</f>
        <v>18027.253720402568</v>
      </c>
      <c r="R3" s="184">
        <f ca="1">IF(YEAR(N3)&lt;2026,0.0147,0.0207)</f>
        <v>2.07E-2</v>
      </c>
      <c r="S3" s="184">
        <f t="shared" ca="1" si="1"/>
        <v>0.22769999999999999</v>
      </c>
      <c r="T3" s="178">
        <f t="shared" ref="T3:T61" ca="1" si="9">+Q3*S3</f>
        <v>4104.8056721356643</v>
      </c>
      <c r="V3" s="177" t="s">
        <v>164</v>
      </c>
      <c r="W3" s="177">
        <f ca="1">YEAR('SAL. PROM MOD 40'!B22)</f>
        <v>2029</v>
      </c>
    </row>
    <row r="4" spans="1:24" s="177" customFormat="1">
      <c r="A4" t="s">
        <v>159</v>
      </c>
      <c r="B4" s="176"/>
      <c r="C4" s="190">
        <f>0.00169*B3+1.003</f>
        <v>1.0638399999999999</v>
      </c>
      <c r="D4" s="189"/>
      <c r="E4" s="189"/>
      <c r="F4" s="192">
        <f t="shared" ca="1" si="2"/>
        <v>47207</v>
      </c>
      <c r="G4" s="179">
        <f t="shared" si="3"/>
        <v>10</v>
      </c>
      <c r="H4" s="179">
        <f t="shared" si="4"/>
        <v>10</v>
      </c>
      <c r="I4" s="193">
        <f t="shared" ca="1" si="5"/>
        <v>18027.253720402568</v>
      </c>
      <c r="J4" s="184">
        <f t="shared" ca="1" si="6"/>
        <v>3.5999999999999999E-3</v>
      </c>
      <c r="K4" s="184">
        <f t="shared" ca="1" si="0"/>
        <v>3.5999999999999997E-2</v>
      </c>
      <c r="L4" s="178">
        <f t="shared" ca="1" si="7"/>
        <v>648.98113393449239</v>
      </c>
      <c r="N4" s="192">
        <f ca="1">IF(P4&gt;1,
   EDATE(N5,-1),
   IF(P4=1,
      EDATE('SAL. PROM MOD 40'!$C$22,-1),
      ""
   )
)</f>
        <v>47207</v>
      </c>
      <c r="O4" s="179">
        <f t="shared" ref="O4:O61" si="10">IF((O3-1)&gt;0,O3-1,0)</f>
        <v>10</v>
      </c>
      <c r="P4" s="179">
        <f>IF(('SAL. PROM MOD 40'!$E$8*12+'SAL. PROM MOD 40'!$F$8)&gt;='2'!O4-0.5,O4,0)</f>
        <v>10</v>
      </c>
      <c r="Q4" s="193">
        <f t="shared" ca="1" si="8"/>
        <v>18027.253720402568</v>
      </c>
      <c r="R4" s="184">
        <f t="shared" ref="R4:R61" ca="1" si="11">IF(YEAR(N4)&lt;2026,0.0147,0.0207)</f>
        <v>2.07E-2</v>
      </c>
      <c r="S4" s="184">
        <f t="shared" ca="1" si="1"/>
        <v>0.20699999999999999</v>
      </c>
      <c r="T4" s="178">
        <f t="shared" ca="1" si="9"/>
        <v>3731.6415201233317</v>
      </c>
      <c r="U4"/>
      <c r="V4" s="177" t="s">
        <v>165</v>
      </c>
      <c r="W4" s="177">
        <f ca="1">YEAR('SAL. PROM MOD 40'!C22)</f>
        <v>2030</v>
      </c>
    </row>
    <row r="5" spans="1:24" ht="15.45" customHeight="1">
      <c r="B5" s="186"/>
      <c r="C5" s="176"/>
      <c r="D5" s="184"/>
      <c r="E5" s="184"/>
      <c r="F5" s="192">
        <f t="shared" ca="1" si="2"/>
        <v>47238</v>
      </c>
      <c r="G5" s="179">
        <f t="shared" si="3"/>
        <v>9</v>
      </c>
      <c r="H5" s="179">
        <f t="shared" si="4"/>
        <v>9</v>
      </c>
      <c r="I5" s="193">
        <f t="shared" ca="1" si="5"/>
        <v>18027.253720402568</v>
      </c>
      <c r="J5" s="184">
        <f t="shared" ca="1" si="6"/>
        <v>3.5999999999999999E-3</v>
      </c>
      <c r="K5" s="184">
        <f t="shared" ca="1" si="0"/>
        <v>3.2399999999999998E-2</v>
      </c>
      <c r="L5" s="178">
        <f t="shared" ca="1" si="7"/>
        <v>584.0830205410432</v>
      </c>
      <c r="N5" s="192">
        <f ca="1">IF(P5&gt;1,
   EDATE(N6,-1),
   IF(P5=1,
      EDATE('SAL. PROM MOD 40'!$C$22,-1),
      ""
   )
)</f>
        <v>47238</v>
      </c>
      <c r="O5" s="179">
        <f t="shared" si="10"/>
        <v>9</v>
      </c>
      <c r="P5" s="179">
        <f>IF(('SAL. PROM MOD 40'!$E$8*12+'SAL. PROM MOD 40'!$F$8)&gt;='2'!O5-0.5,O5,0)</f>
        <v>9</v>
      </c>
      <c r="Q5" s="193">
        <f t="shared" ca="1" si="8"/>
        <v>18027.253720402568</v>
      </c>
      <c r="R5" s="184">
        <f t="shared" ca="1" si="11"/>
        <v>2.07E-2</v>
      </c>
      <c r="S5" s="184">
        <f t="shared" ca="1" si="1"/>
        <v>0.18629999999999999</v>
      </c>
      <c r="T5" s="178">
        <f t="shared" ca="1" si="9"/>
        <v>3358.4773681109982</v>
      </c>
      <c r="X5" s="187"/>
    </row>
    <row r="6" spans="1:24" ht="15.45" customHeight="1">
      <c r="F6" s="192">
        <f t="shared" ca="1" si="2"/>
        <v>47268</v>
      </c>
      <c r="G6" s="179">
        <f t="shared" si="3"/>
        <v>8</v>
      </c>
      <c r="H6" s="179">
        <f t="shared" si="4"/>
        <v>8</v>
      </c>
      <c r="I6" s="193">
        <f t="shared" ca="1" si="5"/>
        <v>18027.253720402568</v>
      </c>
      <c r="J6" s="184">
        <f t="shared" ca="1" si="6"/>
        <v>3.5999999999999999E-3</v>
      </c>
      <c r="K6" s="184">
        <f t="shared" ca="1" si="0"/>
        <v>2.8799999999999999E-2</v>
      </c>
      <c r="L6" s="178">
        <f t="shared" ca="1" si="7"/>
        <v>519.184907147594</v>
      </c>
      <c r="N6" s="192">
        <f ca="1">IF(P6&gt;1,
   EDATE(N7,-1),
   IF(P6=1,
      EDATE('SAL. PROM MOD 40'!$C$22,-1),
      ""
   )
)</f>
        <v>47268</v>
      </c>
      <c r="O6" s="179">
        <f t="shared" si="10"/>
        <v>8</v>
      </c>
      <c r="P6" s="179">
        <f>IF(('SAL. PROM MOD 40'!$E$8*12+'SAL. PROM MOD 40'!$F$8)&gt;='2'!O6-0.5,O6,0)</f>
        <v>8</v>
      </c>
      <c r="Q6" s="193">
        <f t="shared" ca="1" si="8"/>
        <v>18027.253720402568</v>
      </c>
      <c r="R6" s="184">
        <f t="shared" ca="1" si="11"/>
        <v>2.07E-2</v>
      </c>
      <c r="S6" s="184">
        <f t="shared" ca="1" si="1"/>
        <v>0.1656</v>
      </c>
      <c r="T6" s="178">
        <f t="shared" ca="1" si="9"/>
        <v>2985.3132160986652</v>
      </c>
      <c r="V6" s="177" t="s">
        <v>166</v>
      </c>
      <c r="W6" s="177" t="s">
        <v>157</v>
      </c>
    </row>
    <row r="7" spans="1:24" ht="30" customHeight="1">
      <c r="B7" s="175"/>
      <c r="C7" s="177"/>
      <c r="D7" s="175"/>
      <c r="E7" s="175"/>
      <c r="F7" s="192">
        <f t="shared" ca="1" si="2"/>
        <v>47299</v>
      </c>
      <c r="G7" s="179">
        <f t="shared" si="3"/>
        <v>7</v>
      </c>
      <c r="H7" s="179">
        <f t="shared" si="4"/>
        <v>7</v>
      </c>
      <c r="I7" s="193">
        <f t="shared" ca="1" si="5"/>
        <v>18027.253720402568</v>
      </c>
      <c r="J7" s="184">
        <f t="shared" ca="1" si="6"/>
        <v>3.5999999999999999E-3</v>
      </c>
      <c r="K7" s="184">
        <f t="shared" ca="1" si="0"/>
        <v>2.52E-2</v>
      </c>
      <c r="L7" s="178">
        <f t="shared" ca="1" si="7"/>
        <v>454.28679375414475</v>
      </c>
      <c r="N7" s="192">
        <f ca="1">IF(P7&gt;1,
   EDATE(N8,-1),
   IF(P7=1,
      EDATE('SAL. PROM MOD 40'!$C$22,-1),
      ""
   )
)</f>
        <v>47299</v>
      </c>
      <c r="O7" s="179">
        <f t="shared" si="10"/>
        <v>7</v>
      </c>
      <c r="P7" s="179">
        <f>IF(('SAL. PROM MOD 40'!$E$8*12+'SAL. PROM MOD 40'!$F$8)&gt;='2'!O7-0.5,O7,0)</f>
        <v>7</v>
      </c>
      <c r="Q7" s="193">
        <f t="shared" ca="1" si="8"/>
        <v>18027.253720402568</v>
      </c>
      <c r="R7" s="184">
        <f t="shared" ca="1" si="11"/>
        <v>2.07E-2</v>
      </c>
      <c r="S7" s="184">
        <f t="shared" ca="1" si="1"/>
        <v>0.1449</v>
      </c>
      <c r="T7" s="178">
        <f t="shared" ca="1" si="9"/>
        <v>2612.1490640863321</v>
      </c>
      <c r="V7" s="175">
        <v>2019</v>
      </c>
      <c r="W7" s="178">
        <f ca="1">+'COSTO MOD. 40'!F5</f>
        <v>0</v>
      </c>
    </row>
    <row r="8" spans="1:24" ht="15.45" customHeight="1">
      <c r="F8" s="192">
        <f t="shared" ca="1" si="2"/>
        <v>47329</v>
      </c>
      <c r="G8" s="179">
        <f t="shared" si="3"/>
        <v>6</v>
      </c>
      <c r="H8" s="179">
        <f t="shared" si="4"/>
        <v>6</v>
      </c>
      <c r="I8" s="193">
        <f t="shared" ca="1" si="5"/>
        <v>18027.253720402568</v>
      </c>
      <c r="J8" s="184">
        <f t="shared" ca="1" si="6"/>
        <v>3.5999999999999999E-3</v>
      </c>
      <c r="K8" s="184">
        <f t="shared" ca="1" si="0"/>
        <v>2.1600000000000001E-2</v>
      </c>
      <c r="L8" s="178">
        <f t="shared" ca="1" si="7"/>
        <v>389.3886803606955</v>
      </c>
      <c r="N8" s="192">
        <f ca="1">IF(P8&gt;1,
   EDATE(N9,-1),
   IF(P8=1,
      EDATE('SAL. PROM MOD 40'!$C$22,-1),
      ""
   )
)</f>
        <v>47329</v>
      </c>
      <c r="O8" s="179">
        <f t="shared" si="10"/>
        <v>6</v>
      </c>
      <c r="P8" s="179">
        <f>IF(('SAL. PROM MOD 40'!$E$8*12+'SAL. PROM MOD 40'!$F$8)&gt;='2'!O8-0.5,O8,0)</f>
        <v>6</v>
      </c>
      <c r="Q8" s="193">
        <f t="shared" ca="1" si="8"/>
        <v>18027.253720402568</v>
      </c>
      <c r="R8" s="184">
        <f t="shared" ca="1" si="11"/>
        <v>2.07E-2</v>
      </c>
      <c r="S8" s="184">
        <f t="shared" ca="1" si="1"/>
        <v>0.1242</v>
      </c>
      <c r="T8" s="178">
        <f t="shared" ca="1" si="9"/>
        <v>2238.9849120739991</v>
      </c>
      <c r="V8" s="177">
        <v>2020</v>
      </c>
      <c r="W8" s="178">
        <f ca="1">+'COSTO MOD. 40'!F5</f>
        <v>0</v>
      </c>
    </row>
    <row r="9" spans="1:24" ht="15.45" customHeight="1">
      <c r="F9" s="192">
        <f t="shared" ca="1" si="2"/>
        <v>47360</v>
      </c>
      <c r="G9" s="179">
        <f t="shared" si="3"/>
        <v>5</v>
      </c>
      <c r="H9" s="179">
        <f t="shared" si="4"/>
        <v>5</v>
      </c>
      <c r="I9" s="193">
        <f t="shared" ca="1" si="5"/>
        <v>18027.253720402568</v>
      </c>
      <c r="J9" s="184">
        <f t="shared" ca="1" si="6"/>
        <v>3.5999999999999999E-3</v>
      </c>
      <c r="K9" s="184">
        <f t="shared" ca="1" si="0"/>
        <v>1.7999999999999999E-2</v>
      </c>
      <c r="L9" s="178">
        <f t="shared" ca="1" si="7"/>
        <v>324.4905669672462</v>
      </c>
      <c r="N9" s="192">
        <f ca="1">IF(P9&gt;1,
   EDATE(N10,-1),
   IF(P9=1,
      EDATE('SAL. PROM MOD 40'!$C$22,-1),
      ""
   )
)</f>
        <v>47360</v>
      </c>
      <c r="O9" s="179">
        <f t="shared" si="10"/>
        <v>5</v>
      </c>
      <c r="P9" s="179">
        <f>IF(('SAL. PROM MOD 40'!$E$8*12+'SAL. PROM MOD 40'!$F$8)&gt;='2'!O9-0.5,O9,0)</f>
        <v>5</v>
      </c>
      <c r="Q9" s="193">
        <f t="shared" ca="1" si="8"/>
        <v>18027.253720402568</v>
      </c>
      <c r="R9" s="184">
        <f t="shared" ca="1" si="11"/>
        <v>2.07E-2</v>
      </c>
      <c r="S9" s="184">
        <f t="shared" ca="1" si="1"/>
        <v>0.10349999999999999</v>
      </c>
      <c r="T9" s="178">
        <f t="shared" ca="1" si="9"/>
        <v>1865.8207600616659</v>
      </c>
      <c r="V9" s="175">
        <v>2021</v>
      </c>
      <c r="W9" s="178">
        <f ca="1">+'COSTO MOD. 40'!F5</f>
        <v>0</v>
      </c>
    </row>
    <row r="10" spans="1:24" ht="15.45" customHeight="1">
      <c r="C10" s="185"/>
      <c r="D10" s="184"/>
      <c r="E10" s="184"/>
      <c r="F10" s="192">
        <f t="shared" ca="1" si="2"/>
        <v>47391</v>
      </c>
      <c r="G10" s="179">
        <f t="shared" si="3"/>
        <v>4</v>
      </c>
      <c r="H10" s="179">
        <f t="shared" si="4"/>
        <v>4</v>
      </c>
      <c r="I10" s="193">
        <f t="shared" ca="1" si="5"/>
        <v>18027.253720402568</v>
      </c>
      <c r="J10" s="184">
        <f t="shared" ca="1" si="6"/>
        <v>3.5999999999999999E-3</v>
      </c>
      <c r="K10" s="184">
        <f t="shared" ca="1" si="0"/>
        <v>1.44E-2</v>
      </c>
      <c r="L10" s="178">
        <f t="shared" ca="1" si="7"/>
        <v>259.592453573797</v>
      </c>
      <c r="N10" s="192">
        <f ca="1">IF(P10&gt;1,
   EDATE(N11,-1),
   IF(P10=1,
      EDATE('SAL. PROM MOD 40'!$C$22,-1),
      ""
   )
)</f>
        <v>47391</v>
      </c>
      <c r="O10" s="179">
        <f t="shared" si="10"/>
        <v>4</v>
      </c>
      <c r="P10" s="179">
        <f>IF(('SAL. PROM MOD 40'!$E$8*12+'SAL. PROM MOD 40'!$F$8)&gt;='2'!O10-0.5,O10,0)</f>
        <v>4</v>
      </c>
      <c r="Q10" s="193">
        <f t="shared" ca="1" si="8"/>
        <v>18027.253720402568</v>
      </c>
      <c r="R10" s="184">
        <f t="shared" ca="1" si="11"/>
        <v>2.07E-2</v>
      </c>
      <c r="S10" s="184">
        <f t="shared" ca="1" si="1"/>
        <v>8.2799999999999999E-2</v>
      </c>
      <c r="T10" s="178">
        <f t="shared" ca="1" si="9"/>
        <v>1492.6566080493326</v>
      </c>
      <c r="V10" s="177">
        <v>2022</v>
      </c>
      <c r="W10" s="178">
        <f ca="1">+'COSTO MOD. 40'!F5</f>
        <v>0</v>
      </c>
    </row>
    <row r="11" spans="1:24" ht="15.45" customHeight="1">
      <c r="D11" s="183"/>
      <c r="E11" s="183"/>
      <c r="F11" s="192">
        <f t="shared" ca="1" si="2"/>
        <v>47421</v>
      </c>
      <c r="G11" s="179">
        <f t="shared" si="3"/>
        <v>3</v>
      </c>
      <c r="H11" s="179">
        <f t="shared" si="4"/>
        <v>3</v>
      </c>
      <c r="I11" s="193">
        <f t="shared" ca="1" si="5"/>
        <v>18027.253720402568</v>
      </c>
      <c r="J11" s="184">
        <f t="shared" ca="1" si="6"/>
        <v>3.5999999999999999E-3</v>
      </c>
      <c r="K11" s="184">
        <f t="shared" ca="1" si="0"/>
        <v>1.0800000000000001E-2</v>
      </c>
      <c r="L11" s="178">
        <f t="shared" ca="1" si="7"/>
        <v>194.69434018034775</v>
      </c>
      <c r="N11" s="192">
        <f ca="1">IF(P11&gt;1,
   EDATE(N12,-1),
   IF(P11=1,
      EDATE('SAL. PROM MOD 40'!$C$22,-1),
      ""
   )
)</f>
        <v>47421</v>
      </c>
      <c r="O11" s="179">
        <f t="shared" si="10"/>
        <v>3</v>
      </c>
      <c r="P11" s="179">
        <f>IF(('SAL. PROM MOD 40'!$E$8*12+'SAL. PROM MOD 40'!$F$8)&gt;='2'!O11-0.5,O11,0)</f>
        <v>3</v>
      </c>
      <c r="Q11" s="193">
        <f t="shared" ca="1" si="8"/>
        <v>18027.253720402568</v>
      </c>
      <c r="R11" s="184">
        <f t="shared" ca="1" si="11"/>
        <v>2.07E-2</v>
      </c>
      <c r="S11" s="184">
        <f t="shared" ca="1" si="1"/>
        <v>6.2100000000000002E-2</v>
      </c>
      <c r="T11" s="178">
        <f t="shared" ca="1" si="9"/>
        <v>1119.4924560369996</v>
      </c>
      <c r="V11" s="175">
        <v>2023</v>
      </c>
      <c r="W11" s="178">
        <f ca="1">+'COSTO MOD. 40'!F6</f>
        <v>0</v>
      </c>
    </row>
    <row r="12" spans="1:24" ht="15.45" customHeight="1">
      <c r="D12" s="183"/>
      <c r="E12" s="183"/>
      <c r="F12" s="192">
        <f t="shared" ca="1" si="2"/>
        <v>47452</v>
      </c>
      <c r="G12" s="179">
        <f t="shared" si="3"/>
        <v>2</v>
      </c>
      <c r="H12" s="179">
        <f t="shared" si="4"/>
        <v>2</v>
      </c>
      <c r="I12" s="193">
        <f t="shared" ca="1" si="5"/>
        <v>18027.253720402568</v>
      </c>
      <c r="J12" s="184">
        <f t="shared" ca="1" si="6"/>
        <v>3.5999999999999999E-3</v>
      </c>
      <c r="K12" s="184">
        <f t="shared" ca="1" si="0"/>
        <v>7.1999999999999998E-3</v>
      </c>
      <c r="L12" s="178">
        <f t="shared" ca="1" si="7"/>
        <v>129.7962267868985</v>
      </c>
      <c r="N12" s="192">
        <f ca="1">IF(P12&gt;1,
   EDATE(N13,-1),
   IF(P12=1,
      EDATE('SAL. PROM MOD 40'!$C$22,-1),
      ""
   )
)</f>
        <v>47452</v>
      </c>
      <c r="O12" s="179">
        <f t="shared" si="10"/>
        <v>2</v>
      </c>
      <c r="P12" s="179">
        <f>IF(('SAL. PROM MOD 40'!$E$8*12+'SAL. PROM MOD 40'!$F$8)&gt;='2'!O12-0.5,O12,0)</f>
        <v>2</v>
      </c>
      <c r="Q12" s="193">
        <f t="shared" ca="1" si="8"/>
        <v>18027.253720402568</v>
      </c>
      <c r="R12" s="184">
        <f t="shared" ca="1" si="11"/>
        <v>2.07E-2</v>
      </c>
      <c r="S12" s="184">
        <f t="shared" ca="1" si="1"/>
        <v>4.1399999999999999E-2</v>
      </c>
      <c r="T12" s="178">
        <f t="shared" ca="1" si="9"/>
        <v>746.32830402466629</v>
      </c>
      <c r="V12" s="177">
        <v>2024</v>
      </c>
      <c r="W12" s="178">
        <f ca="1">+'COSTO MOD. 40'!F7</f>
        <v>0</v>
      </c>
    </row>
    <row r="13" spans="1:24" ht="15.45" customHeight="1">
      <c r="D13" s="183"/>
      <c r="E13" s="183"/>
      <c r="F13" s="192">
        <f t="shared" ca="1" si="2"/>
        <v>47483</v>
      </c>
      <c r="G13" s="179">
        <f t="shared" si="3"/>
        <v>1</v>
      </c>
      <c r="H13" s="179">
        <f t="shared" si="4"/>
        <v>1</v>
      </c>
      <c r="I13" s="193">
        <f t="shared" ca="1" si="5"/>
        <v>18027.253720402568</v>
      </c>
      <c r="J13" s="184">
        <f t="shared" ca="1" si="6"/>
        <v>3.5999999999999999E-3</v>
      </c>
      <c r="K13" s="184">
        <f t="shared" ca="1" si="0"/>
        <v>3.5999999999999999E-3</v>
      </c>
      <c r="L13" s="178">
        <f t="shared" ca="1" si="7"/>
        <v>64.89811339344925</v>
      </c>
      <c r="N13" s="192">
        <f ca="1">IF(P13&gt;1,
   EDATE(N14,-1),
   IF(P13=1,
      EDATE('SAL. PROM MOD 40'!$C$22,-1),
      ""
   )
)</f>
        <v>47483</v>
      </c>
      <c r="O13" s="179">
        <f t="shared" si="10"/>
        <v>1</v>
      </c>
      <c r="P13" s="179">
        <f>IF(('SAL. PROM MOD 40'!$E$8*12+'SAL. PROM MOD 40'!$F$8)&gt;='2'!O13-0.5,O13,0)</f>
        <v>1</v>
      </c>
      <c r="Q13" s="193">
        <f t="shared" ca="1" si="8"/>
        <v>18027.253720402568</v>
      </c>
      <c r="R13" s="184">
        <f t="shared" ca="1" si="11"/>
        <v>2.07E-2</v>
      </c>
      <c r="S13" s="184">
        <f t="shared" ca="1" si="1"/>
        <v>2.07E-2</v>
      </c>
      <c r="T13" s="178">
        <f t="shared" ca="1" si="9"/>
        <v>373.16415201233315</v>
      </c>
      <c r="V13" s="175">
        <v>2025</v>
      </c>
      <c r="W13" s="178">
        <f ca="1">+'COSTO MOD. 40'!F8</f>
        <v>0</v>
      </c>
    </row>
    <row r="14" spans="1:24" ht="15.45" customHeight="1">
      <c r="F14" s="192" t="str">
        <f t="shared" si="2"/>
        <v/>
      </c>
      <c r="G14" s="179">
        <f t="shared" si="3"/>
        <v>0</v>
      </c>
      <c r="H14" s="179">
        <f t="shared" si="4"/>
        <v>0</v>
      </c>
      <c r="I14" s="193" t="e">
        <f t="shared" si="5"/>
        <v>#VALUE!</v>
      </c>
      <c r="J14" s="184" t="e">
        <f t="shared" si="6"/>
        <v>#VALUE!</v>
      </c>
      <c r="K14" s="184" t="e">
        <f t="shared" si="0"/>
        <v>#VALUE!</v>
      </c>
      <c r="L14" s="178" t="e">
        <f t="shared" si="7"/>
        <v>#VALUE!</v>
      </c>
      <c r="N14" s="192" t="str">
        <f>IF(P14&gt;1,
   EDATE(N15,-1),
   IF(P14=1,
      EDATE('SAL. PROM MOD 40'!$C$22,-1),
      ""
   )
)</f>
        <v/>
      </c>
      <c r="O14" s="179">
        <f t="shared" si="10"/>
        <v>0</v>
      </c>
      <c r="P14" s="179">
        <f>IF(('SAL. PROM MOD 40'!$E$8*12+'SAL. PROM MOD 40'!$F$8)&gt;='2'!O14-0.5,O14,0)</f>
        <v>0</v>
      </c>
      <c r="Q14" s="193" t="e">
        <f t="shared" si="8"/>
        <v>#VALUE!</v>
      </c>
      <c r="R14" s="184" t="e">
        <f t="shared" si="11"/>
        <v>#VALUE!</v>
      </c>
      <c r="S14" s="184" t="e">
        <f t="shared" si="1"/>
        <v>#VALUE!</v>
      </c>
      <c r="T14" s="178" t="e">
        <f t="shared" si="9"/>
        <v>#VALUE!</v>
      </c>
      <c r="V14" s="177">
        <v>2026</v>
      </c>
      <c r="W14" s="178">
        <f ca="1">+'COSTO MOD. 40'!F9</f>
        <v>0</v>
      </c>
    </row>
    <row r="15" spans="1:24" ht="15.45" customHeight="1">
      <c r="F15" s="192" t="str">
        <f t="shared" si="2"/>
        <v/>
      </c>
      <c r="G15" s="179">
        <f t="shared" si="3"/>
        <v>0</v>
      </c>
      <c r="H15" s="179">
        <f t="shared" si="4"/>
        <v>0</v>
      </c>
      <c r="I15" s="193" t="e">
        <f t="shared" si="5"/>
        <v>#VALUE!</v>
      </c>
      <c r="J15" s="184" t="e">
        <f t="shared" si="6"/>
        <v>#VALUE!</v>
      </c>
      <c r="K15" s="184" t="e">
        <f t="shared" si="0"/>
        <v>#VALUE!</v>
      </c>
      <c r="L15" s="178" t="e">
        <f t="shared" si="7"/>
        <v>#VALUE!</v>
      </c>
      <c r="N15" s="192" t="str">
        <f>IF(P15&gt;1,
   EDATE(N16,-1),
   IF(P15=1,
      EDATE('SAL. PROM MOD 40'!$C$22,-1),
      ""
   )
)</f>
        <v/>
      </c>
      <c r="O15" s="179">
        <f t="shared" si="10"/>
        <v>0</v>
      </c>
      <c r="P15" s="179">
        <f>IF(('SAL. PROM MOD 40'!$E$8*12+'SAL. PROM MOD 40'!$F$8)&gt;='2'!O15-0.5,O15,0)</f>
        <v>0</v>
      </c>
      <c r="Q15" s="193" t="e">
        <f t="shared" si="8"/>
        <v>#VALUE!</v>
      </c>
      <c r="R15" s="184" t="e">
        <f t="shared" si="11"/>
        <v>#VALUE!</v>
      </c>
      <c r="S15" s="184" t="e">
        <f t="shared" si="1"/>
        <v>#VALUE!</v>
      </c>
      <c r="T15" s="178" t="e">
        <f t="shared" si="9"/>
        <v>#VALUE!</v>
      </c>
      <c r="V15" s="175">
        <v>2027</v>
      </c>
      <c r="W15" s="178">
        <f ca="1">+'COSTO MOD. 40'!F10</f>
        <v>0</v>
      </c>
    </row>
    <row r="16" spans="1:24" ht="15.45" customHeight="1">
      <c r="F16" s="192" t="str">
        <f t="shared" si="2"/>
        <v/>
      </c>
      <c r="G16" s="179">
        <f t="shared" si="3"/>
        <v>0</v>
      </c>
      <c r="H16" s="179">
        <f t="shared" si="4"/>
        <v>0</v>
      </c>
      <c r="I16" s="193" t="e">
        <f t="shared" si="5"/>
        <v>#VALUE!</v>
      </c>
      <c r="J16" s="184" t="e">
        <f t="shared" si="6"/>
        <v>#VALUE!</v>
      </c>
      <c r="K16" s="184" t="e">
        <f t="shared" si="0"/>
        <v>#VALUE!</v>
      </c>
      <c r="L16" s="178" t="e">
        <f t="shared" si="7"/>
        <v>#VALUE!</v>
      </c>
      <c r="N16" s="192" t="str">
        <f>IF(P16&gt;1,
   EDATE(N17,-1),
   IF(P16=1,
      EDATE('SAL. PROM MOD 40'!$C$22,-1),
      ""
   )
)</f>
        <v/>
      </c>
      <c r="O16" s="179">
        <f t="shared" si="10"/>
        <v>0</v>
      </c>
      <c r="P16" s="179">
        <f>IF(('SAL. PROM MOD 40'!$E$8*12+'SAL. PROM MOD 40'!$F$8)&gt;='2'!O16-0.5,O16,0)</f>
        <v>0</v>
      </c>
      <c r="Q16" s="193" t="e">
        <f t="shared" si="8"/>
        <v>#VALUE!</v>
      </c>
      <c r="R16" s="184" t="e">
        <f t="shared" si="11"/>
        <v>#VALUE!</v>
      </c>
      <c r="S16" s="184" t="e">
        <f t="shared" si="1"/>
        <v>#VALUE!</v>
      </c>
      <c r="T16" s="178" t="e">
        <f t="shared" si="9"/>
        <v>#VALUE!</v>
      </c>
      <c r="V16" s="177">
        <v>2028</v>
      </c>
      <c r="W16" s="178">
        <f ca="1">+'COSTO MOD. 40'!F11</f>
        <v>0</v>
      </c>
    </row>
    <row r="17" spans="6:23" ht="15.45" customHeight="1">
      <c r="F17" s="192" t="str">
        <f t="shared" si="2"/>
        <v/>
      </c>
      <c r="G17" s="179">
        <f t="shared" si="3"/>
        <v>0</v>
      </c>
      <c r="H17" s="179">
        <f t="shared" si="4"/>
        <v>0</v>
      </c>
      <c r="I17" s="193" t="e">
        <f t="shared" si="5"/>
        <v>#VALUE!</v>
      </c>
      <c r="J17" s="184" t="e">
        <f t="shared" si="6"/>
        <v>#VALUE!</v>
      </c>
      <c r="K17" s="184" t="e">
        <f t="shared" si="0"/>
        <v>#VALUE!</v>
      </c>
      <c r="L17" s="178" t="e">
        <f t="shared" si="7"/>
        <v>#VALUE!</v>
      </c>
      <c r="N17" s="192" t="str">
        <f>IF(P17&gt;1,
   EDATE(N18,-1),
   IF(P17=1,
      EDATE('SAL. PROM MOD 40'!$C$22,-1),
      ""
   )
)</f>
        <v/>
      </c>
      <c r="O17" s="179">
        <f t="shared" si="10"/>
        <v>0</v>
      </c>
      <c r="P17" s="179">
        <f>IF(('SAL. PROM MOD 40'!$E$8*12+'SAL. PROM MOD 40'!$F$8)&gt;='2'!O17-0.5,O17,0)</f>
        <v>0</v>
      </c>
      <c r="Q17" s="193" t="e">
        <f t="shared" si="8"/>
        <v>#VALUE!</v>
      </c>
      <c r="R17" s="184" t="e">
        <f t="shared" si="11"/>
        <v>#VALUE!</v>
      </c>
      <c r="S17" s="184" t="e">
        <f t="shared" si="1"/>
        <v>#VALUE!</v>
      </c>
      <c r="T17" s="178" t="e">
        <f t="shared" si="9"/>
        <v>#VALUE!</v>
      </c>
      <c r="V17" s="175">
        <v>2029</v>
      </c>
      <c r="W17" s="178">
        <f ca="1">+'COSTO MOD. 40'!F12</f>
        <v>18027.253720402568</v>
      </c>
    </row>
    <row r="18" spans="6:23" ht="15.45" customHeight="1">
      <c r="F18" s="192" t="str">
        <f t="shared" si="2"/>
        <v/>
      </c>
      <c r="G18" s="179">
        <f t="shared" si="3"/>
        <v>0</v>
      </c>
      <c r="H18" s="179">
        <f t="shared" si="4"/>
        <v>0</v>
      </c>
      <c r="I18" s="193" t="e">
        <f t="shared" si="5"/>
        <v>#VALUE!</v>
      </c>
      <c r="J18" s="184" t="e">
        <f t="shared" si="6"/>
        <v>#VALUE!</v>
      </c>
      <c r="K18" s="184" t="e">
        <f t="shared" si="0"/>
        <v>#VALUE!</v>
      </c>
      <c r="L18" s="178" t="e">
        <f t="shared" si="7"/>
        <v>#VALUE!</v>
      </c>
      <c r="N18" s="192" t="str">
        <f>IF(P18&gt;1,
   EDATE(N19,-1),
   IF(P18=1,
      EDATE('SAL. PROM MOD 40'!$C$22,-1),
      ""
   )
)</f>
        <v/>
      </c>
      <c r="O18" s="179">
        <f t="shared" si="10"/>
        <v>0</v>
      </c>
      <c r="P18" s="179">
        <f>IF(('SAL. PROM MOD 40'!$E$8*12+'SAL. PROM MOD 40'!$F$8)&gt;='2'!O18-0.5,O18,0)</f>
        <v>0</v>
      </c>
      <c r="Q18" s="193" t="e">
        <f t="shared" si="8"/>
        <v>#VALUE!</v>
      </c>
      <c r="R18" s="184" t="e">
        <f t="shared" si="11"/>
        <v>#VALUE!</v>
      </c>
      <c r="S18" s="184" t="e">
        <f t="shared" si="1"/>
        <v>#VALUE!</v>
      </c>
      <c r="T18" s="178" t="e">
        <f t="shared" si="9"/>
        <v>#VALUE!</v>
      </c>
      <c r="V18" s="177">
        <v>2030</v>
      </c>
      <c r="W18" s="178">
        <f ca="1">+'COSTO MOD. 40'!F13</f>
        <v>19137.860406774427</v>
      </c>
    </row>
    <row r="19" spans="6:23" ht="15.45" customHeight="1">
      <c r="F19" s="192" t="str">
        <f t="shared" si="2"/>
        <v/>
      </c>
      <c r="G19" s="179">
        <f t="shared" si="3"/>
        <v>0</v>
      </c>
      <c r="H19" s="179">
        <f t="shared" si="4"/>
        <v>0</v>
      </c>
      <c r="I19" s="193" t="e">
        <f t="shared" si="5"/>
        <v>#VALUE!</v>
      </c>
      <c r="J19" s="184" t="e">
        <f t="shared" si="6"/>
        <v>#VALUE!</v>
      </c>
      <c r="K19" s="184" t="e">
        <f t="shared" si="0"/>
        <v>#VALUE!</v>
      </c>
      <c r="L19" s="178" t="e">
        <f t="shared" si="7"/>
        <v>#VALUE!</v>
      </c>
      <c r="N19" s="192" t="str">
        <f>IF(P19&gt;1,
   EDATE(N20,-1),
   IF(P19=1,
      EDATE('SAL. PROM MOD 40'!$C$22,-1),
      ""
   )
)</f>
        <v/>
      </c>
      <c r="O19" s="179">
        <f t="shared" si="10"/>
        <v>0</v>
      </c>
      <c r="P19" s="179">
        <f>IF(('SAL. PROM MOD 40'!$E$8*12+'SAL. PROM MOD 40'!$F$8)&gt;='2'!O19-0.5,O19,0)</f>
        <v>0</v>
      </c>
      <c r="Q19" s="193" t="e">
        <f t="shared" si="8"/>
        <v>#VALUE!</v>
      </c>
      <c r="R19" s="184" t="e">
        <f t="shared" si="11"/>
        <v>#VALUE!</v>
      </c>
      <c r="S19" s="184" t="e">
        <f t="shared" si="1"/>
        <v>#VALUE!</v>
      </c>
      <c r="T19" s="178" t="e">
        <f t="shared" si="9"/>
        <v>#VALUE!</v>
      </c>
      <c r="V19" s="175">
        <v>2031</v>
      </c>
      <c r="W19" s="178">
        <f ca="1">+'COSTO MOD. 40'!F14</f>
        <v>0</v>
      </c>
    </row>
    <row r="20" spans="6:23" ht="15.45" customHeight="1">
      <c r="F20" s="192" t="str">
        <f t="shared" si="2"/>
        <v/>
      </c>
      <c r="G20" s="179">
        <f t="shared" si="3"/>
        <v>0</v>
      </c>
      <c r="H20" s="179">
        <f t="shared" si="4"/>
        <v>0</v>
      </c>
      <c r="I20" s="193" t="e">
        <f t="shared" si="5"/>
        <v>#VALUE!</v>
      </c>
      <c r="J20" s="184" t="e">
        <f t="shared" si="6"/>
        <v>#VALUE!</v>
      </c>
      <c r="K20" s="184" t="e">
        <f t="shared" si="0"/>
        <v>#VALUE!</v>
      </c>
      <c r="L20" s="178" t="e">
        <f t="shared" si="7"/>
        <v>#VALUE!</v>
      </c>
      <c r="N20" s="192" t="str">
        <f>IF(P20&gt;1,
   EDATE(N21,-1),
   IF(P20=1,
      EDATE('SAL. PROM MOD 40'!$C$22,-1),
      ""
   )
)</f>
        <v/>
      </c>
      <c r="O20" s="179">
        <f t="shared" si="10"/>
        <v>0</v>
      </c>
      <c r="P20" s="179">
        <f>IF(('SAL. PROM MOD 40'!$E$8*12+'SAL. PROM MOD 40'!$F$8)&gt;='2'!O20-0.5,O20,0)</f>
        <v>0</v>
      </c>
      <c r="Q20" s="193" t="e">
        <f t="shared" si="8"/>
        <v>#VALUE!</v>
      </c>
      <c r="R20" s="184" t="e">
        <f t="shared" si="11"/>
        <v>#VALUE!</v>
      </c>
      <c r="S20" s="184" t="e">
        <f t="shared" si="1"/>
        <v>#VALUE!</v>
      </c>
      <c r="T20" s="178" t="e">
        <f t="shared" si="9"/>
        <v>#VALUE!</v>
      </c>
      <c r="V20" s="178"/>
    </row>
    <row r="21" spans="6:23" ht="15.45" customHeight="1">
      <c r="F21" s="192" t="str">
        <f t="shared" si="2"/>
        <v/>
      </c>
      <c r="G21" s="179">
        <f t="shared" si="3"/>
        <v>0</v>
      </c>
      <c r="H21" s="179">
        <f t="shared" si="4"/>
        <v>0</v>
      </c>
      <c r="I21" s="193" t="e">
        <f t="shared" si="5"/>
        <v>#VALUE!</v>
      </c>
      <c r="J21" s="184" t="e">
        <f t="shared" si="6"/>
        <v>#VALUE!</v>
      </c>
      <c r="K21" s="184" t="e">
        <f t="shared" si="0"/>
        <v>#VALUE!</v>
      </c>
      <c r="L21" s="178" t="e">
        <f t="shared" si="7"/>
        <v>#VALUE!</v>
      </c>
      <c r="N21" s="192" t="str">
        <f>IF(P21&gt;1,
   EDATE(N22,-1),
   IF(P21=1,
      EDATE('SAL. PROM MOD 40'!$C$22,-1),
      ""
   )
)</f>
        <v/>
      </c>
      <c r="O21" s="179">
        <f t="shared" si="10"/>
        <v>0</v>
      </c>
      <c r="P21" s="179">
        <f>IF(('SAL. PROM MOD 40'!$E$8*12+'SAL. PROM MOD 40'!$F$8)&gt;='2'!O21-0.5,O21,0)</f>
        <v>0</v>
      </c>
      <c r="Q21" s="193" t="e">
        <f t="shared" si="8"/>
        <v>#VALUE!</v>
      </c>
      <c r="R21" s="184" t="e">
        <f t="shared" si="11"/>
        <v>#VALUE!</v>
      </c>
      <c r="S21" s="184" t="e">
        <f t="shared" si="1"/>
        <v>#VALUE!</v>
      </c>
      <c r="T21" s="178" t="e">
        <f t="shared" si="9"/>
        <v>#VALUE!</v>
      </c>
      <c r="V21" s="178"/>
    </row>
    <row r="22" spans="6:23" ht="15.45" customHeight="1">
      <c r="F22" s="192" t="str">
        <f t="shared" si="2"/>
        <v/>
      </c>
      <c r="G22" s="179">
        <f t="shared" si="3"/>
        <v>0</v>
      </c>
      <c r="H22" s="179">
        <f t="shared" si="4"/>
        <v>0</v>
      </c>
      <c r="I22" s="193" t="e">
        <f t="shared" si="5"/>
        <v>#VALUE!</v>
      </c>
      <c r="J22" s="184" t="e">
        <f t="shared" si="6"/>
        <v>#VALUE!</v>
      </c>
      <c r="K22" s="184" t="e">
        <f t="shared" si="0"/>
        <v>#VALUE!</v>
      </c>
      <c r="L22" s="178" t="e">
        <f t="shared" si="7"/>
        <v>#VALUE!</v>
      </c>
      <c r="N22" s="192" t="str">
        <f>IF(P22&gt;1,
   EDATE(N23,-1),
   IF(P22=1,
      EDATE('SAL. PROM MOD 40'!$C$22,-1),
      ""
   )
)</f>
        <v/>
      </c>
      <c r="O22" s="179">
        <f t="shared" si="10"/>
        <v>0</v>
      </c>
      <c r="P22" s="179">
        <f>IF(('SAL. PROM MOD 40'!$E$8*12+'SAL. PROM MOD 40'!$F$8)&gt;='2'!O22-0.5,O22,0)</f>
        <v>0</v>
      </c>
      <c r="Q22" s="193" t="e">
        <f t="shared" si="8"/>
        <v>#VALUE!</v>
      </c>
      <c r="R22" s="184" t="e">
        <f t="shared" si="11"/>
        <v>#VALUE!</v>
      </c>
      <c r="S22" s="184" t="e">
        <f t="shared" si="1"/>
        <v>#VALUE!</v>
      </c>
      <c r="T22" s="178" t="e">
        <f t="shared" si="9"/>
        <v>#VALUE!</v>
      </c>
      <c r="V22" s="178"/>
    </row>
    <row r="23" spans="6:23" ht="15.45" customHeight="1">
      <c r="F23" s="192" t="str">
        <f t="shared" si="2"/>
        <v/>
      </c>
      <c r="G23" s="179">
        <f t="shared" si="3"/>
        <v>0</v>
      </c>
      <c r="H23" s="179">
        <f t="shared" si="4"/>
        <v>0</v>
      </c>
      <c r="I23" s="193" t="e">
        <f t="shared" si="5"/>
        <v>#VALUE!</v>
      </c>
      <c r="J23" s="184" t="e">
        <f t="shared" si="6"/>
        <v>#VALUE!</v>
      </c>
      <c r="K23" s="184" t="e">
        <f t="shared" si="0"/>
        <v>#VALUE!</v>
      </c>
      <c r="L23" s="178" t="e">
        <f t="shared" si="7"/>
        <v>#VALUE!</v>
      </c>
      <c r="N23" s="192" t="str">
        <f>IF(P23&gt;1,
   EDATE(N24,-1),
   IF(P23=1,
      EDATE('SAL. PROM MOD 40'!$C$22,-1),
      ""
   )
)</f>
        <v/>
      </c>
      <c r="O23" s="179">
        <f t="shared" si="10"/>
        <v>0</v>
      </c>
      <c r="P23" s="179">
        <f>IF(('SAL. PROM MOD 40'!$E$8*12+'SAL. PROM MOD 40'!$F$8)&gt;='2'!O23-0.5,O23,0)</f>
        <v>0</v>
      </c>
      <c r="Q23" s="193" t="e">
        <f t="shared" si="8"/>
        <v>#VALUE!</v>
      </c>
      <c r="R23" s="184" t="e">
        <f t="shared" si="11"/>
        <v>#VALUE!</v>
      </c>
      <c r="S23" s="184" t="e">
        <f t="shared" si="1"/>
        <v>#VALUE!</v>
      </c>
      <c r="T23" s="178" t="e">
        <f t="shared" si="9"/>
        <v>#VALUE!</v>
      </c>
      <c r="V23" s="178"/>
    </row>
    <row r="24" spans="6:23" ht="15.45" customHeight="1">
      <c r="F24" s="192" t="str">
        <f t="shared" si="2"/>
        <v/>
      </c>
      <c r="G24" s="179">
        <f t="shared" si="3"/>
        <v>0</v>
      </c>
      <c r="H24" s="179">
        <f t="shared" si="4"/>
        <v>0</v>
      </c>
      <c r="I24" s="193" t="e">
        <f t="shared" si="5"/>
        <v>#VALUE!</v>
      </c>
      <c r="J24" s="184" t="e">
        <f t="shared" si="6"/>
        <v>#VALUE!</v>
      </c>
      <c r="K24" s="184" t="e">
        <f t="shared" si="0"/>
        <v>#VALUE!</v>
      </c>
      <c r="L24" s="178" t="e">
        <f t="shared" si="7"/>
        <v>#VALUE!</v>
      </c>
      <c r="N24" s="192" t="str">
        <f>IF(P24&gt;1,
   EDATE(N25,-1),
   IF(P24=1,
      EDATE('SAL. PROM MOD 40'!$C$22,-1),
      ""
   )
)</f>
        <v/>
      </c>
      <c r="O24" s="179">
        <f t="shared" si="10"/>
        <v>0</v>
      </c>
      <c r="P24" s="179">
        <f>IF(('SAL. PROM MOD 40'!$E$8*12+'SAL. PROM MOD 40'!$F$8)&gt;='2'!O24-0.5,O24,0)</f>
        <v>0</v>
      </c>
      <c r="Q24" s="193" t="e">
        <f t="shared" si="8"/>
        <v>#VALUE!</v>
      </c>
      <c r="R24" s="184" t="e">
        <f t="shared" si="11"/>
        <v>#VALUE!</v>
      </c>
      <c r="S24" s="184" t="e">
        <f t="shared" si="1"/>
        <v>#VALUE!</v>
      </c>
      <c r="T24" s="178" t="e">
        <f t="shared" si="9"/>
        <v>#VALUE!</v>
      </c>
      <c r="V24" s="178"/>
    </row>
    <row r="25" spans="6:23">
      <c r="F25" s="192" t="str">
        <f t="shared" si="2"/>
        <v/>
      </c>
      <c r="G25" s="179">
        <f t="shared" si="3"/>
        <v>0</v>
      </c>
      <c r="H25" s="179">
        <f t="shared" si="4"/>
        <v>0</v>
      </c>
      <c r="I25" s="193" t="e">
        <f t="shared" si="5"/>
        <v>#VALUE!</v>
      </c>
      <c r="J25" s="184" t="e">
        <f t="shared" si="6"/>
        <v>#VALUE!</v>
      </c>
      <c r="K25" s="184" t="e">
        <f t="shared" si="0"/>
        <v>#VALUE!</v>
      </c>
      <c r="L25" s="178" t="e">
        <f t="shared" si="7"/>
        <v>#VALUE!</v>
      </c>
      <c r="N25" s="192" t="str">
        <f>IF(P25&gt;1,
   EDATE(N26,-1),
   IF(P25=1,
      EDATE('SAL. PROM MOD 40'!$C$22,-1),
      ""
   )
)</f>
        <v/>
      </c>
      <c r="O25" s="179">
        <f t="shared" si="10"/>
        <v>0</v>
      </c>
      <c r="P25" s="179">
        <f>IF(('SAL. PROM MOD 40'!$E$8*12+'SAL. PROM MOD 40'!$F$8)&gt;='2'!O25-0.5,O25,0)</f>
        <v>0</v>
      </c>
      <c r="Q25" s="193" t="e">
        <f t="shared" si="8"/>
        <v>#VALUE!</v>
      </c>
      <c r="R25" s="184" t="e">
        <f t="shared" si="11"/>
        <v>#VALUE!</v>
      </c>
      <c r="S25" s="184" t="e">
        <f t="shared" si="1"/>
        <v>#VALUE!</v>
      </c>
      <c r="T25" s="178" t="e">
        <f t="shared" si="9"/>
        <v>#VALUE!</v>
      </c>
      <c r="V25" s="178"/>
    </row>
    <row r="26" spans="6:23">
      <c r="F26" s="192" t="str">
        <f t="shared" si="2"/>
        <v/>
      </c>
      <c r="G26" s="179">
        <f t="shared" si="3"/>
        <v>0</v>
      </c>
      <c r="H26" s="179">
        <f t="shared" si="4"/>
        <v>0</v>
      </c>
      <c r="I26" s="193" t="e">
        <f t="shared" si="5"/>
        <v>#VALUE!</v>
      </c>
      <c r="J26" s="184" t="e">
        <f t="shared" si="6"/>
        <v>#VALUE!</v>
      </c>
      <c r="K26" s="184" t="e">
        <f t="shared" si="0"/>
        <v>#VALUE!</v>
      </c>
      <c r="L26" s="178" t="e">
        <f t="shared" si="7"/>
        <v>#VALUE!</v>
      </c>
      <c r="N26" s="192" t="str">
        <f>IF(P26&gt;1,
   EDATE(N27,-1),
   IF(P26=1,
      EDATE('SAL. PROM MOD 40'!$C$22,-1),
      ""
   )
)</f>
        <v/>
      </c>
      <c r="O26" s="179">
        <f t="shared" si="10"/>
        <v>0</v>
      </c>
      <c r="P26" s="179">
        <f>IF(('SAL. PROM MOD 40'!$E$8*12+'SAL. PROM MOD 40'!$F$8)&gt;='2'!O26-0.5,O26,0)</f>
        <v>0</v>
      </c>
      <c r="Q26" s="193" t="e">
        <f t="shared" si="8"/>
        <v>#VALUE!</v>
      </c>
      <c r="R26" s="184" t="e">
        <f t="shared" si="11"/>
        <v>#VALUE!</v>
      </c>
      <c r="S26" s="184" t="e">
        <f t="shared" si="1"/>
        <v>#VALUE!</v>
      </c>
      <c r="T26" s="178" t="e">
        <f t="shared" si="9"/>
        <v>#VALUE!</v>
      </c>
    </row>
    <row r="27" spans="6:23">
      <c r="F27" s="192" t="str">
        <f t="shared" si="2"/>
        <v/>
      </c>
      <c r="G27" s="179">
        <f t="shared" si="3"/>
        <v>0</v>
      </c>
      <c r="H27" s="179">
        <f t="shared" si="4"/>
        <v>0</v>
      </c>
      <c r="I27" s="193" t="e">
        <f t="shared" si="5"/>
        <v>#VALUE!</v>
      </c>
      <c r="J27" s="184" t="e">
        <f t="shared" si="6"/>
        <v>#VALUE!</v>
      </c>
      <c r="K27" s="184" t="e">
        <f t="shared" si="0"/>
        <v>#VALUE!</v>
      </c>
      <c r="L27" s="178" t="e">
        <f t="shared" si="7"/>
        <v>#VALUE!</v>
      </c>
      <c r="N27" s="192" t="str">
        <f>IF(P27&gt;1,
   EDATE(N28,-1),
   IF(P27=1,
      EDATE('SAL. PROM MOD 40'!$C$22,-1),
      ""
   )
)</f>
        <v/>
      </c>
      <c r="O27" s="179">
        <f t="shared" si="10"/>
        <v>0</v>
      </c>
      <c r="P27" s="179">
        <f>IF(('SAL. PROM MOD 40'!$E$8*12+'SAL. PROM MOD 40'!$F$8)&gt;='2'!O27-0.5,O27,0)</f>
        <v>0</v>
      </c>
      <c r="Q27" s="193" t="e">
        <f t="shared" si="8"/>
        <v>#VALUE!</v>
      </c>
      <c r="R27" s="184" t="e">
        <f t="shared" si="11"/>
        <v>#VALUE!</v>
      </c>
      <c r="S27" s="184" t="e">
        <f t="shared" si="1"/>
        <v>#VALUE!</v>
      </c>
      <c r="T27" s="178" t="e">
        <f t="shared" si="9"/>
        <v>#VALUE!</v>
      </c>
    </row>
    <row r="28" spans="6:23">
      <c r="F28" s="192" t="str">
        <f t="shared" si="2"/>
        <v/>
      </c>
      <c r="G28" s="179">
        <f t="shared" si="3"/>
        <v>0</v>
      </c>
      <c r="H28" s="179">
        <f t="shared" si="4"/>
        <v>0</v>
      </c>
      <c r="I28" s="193" t="e">
        <f t="shared" si="5"/>
        <v>#VALUE!</v>
      </c>
      <c r="J28" s="184" t="e">
        <f t="shared" si="6"/>
        <v>#VALUE!</v>
      </c>
      <c r="K28" s="184" t="e">
        <f t="shared" si="0"/>
        <v>#VALUE!</v>
      </c>
      <c r="L28" s="178" t="e">
        <f t="shared" si="7"/>
        <v>#VALUE!</v>
      </c>
      <c r="N28" s="192" t="str">
        <f>IF(P28&gt;1,
   EDATE(N29,-1),
   IF(P28=1,
      EDATE('SAL. PROM MOD 40'!$C$22,-1),
      ""
   )
)</f>
        <v/>
      </c>
      <c r="O28" s="179">
        <f t="shared" si="10"/>
        <v>0</v>
      </c>
      <c r="P28" s="179">
        <f>IF(('SAL. PROM MOD 40'!$E$8*12+'SAL. PROM MOD 40'!$F$8)&gt;='2'!O28-0.5,O28,0)</f>
        <v>0</v>
      </c>
      <c r="Q28" s="193" t="e">
        <f t="shared" si="8"/>
        <v>#VALUE!</v>
      </c>
      <c r="R28" s="184" t="e">
        <f t="shared" si="11"/>
        <v>#VALUE!</v>
      </c>
      <c r="S28" s="184" t="e">
        <f t="shared" si="1"/>
        <v>#VALUE!</v>
      </c>
      <c r="T28" s="178" t="e">
        <f t="shared" si="9"/>
        <v>#VALUE!</v>
      </c>
    </row>
    <row r="29" spans="6:23">
      <c r="F29" s="192" t="str">
        <f t="shared" si="2"/>
        <v/>
      </c>
      <c r="G29" s="179">
        <f t="shared" si="3"/>
        <v>0</v>
      </c>
      <c r="H29" s="179">
        <f t="shared" si="4"/>
        <v>0</v>
      </c>
      <c r="I29" s="193" t="e">
        <f t="shared" si="5"/>
        <v>#VALUE!</v>
      </c>
      <c r="J29" s="184" t="e">
        <f t="shared" si="6"/>
        <v>#VALUE!</v>
      </c>
      <c r="K29" s="184" t="e">
        <f t="shared" si="0"/>
        <v>#VALUE!</v>
      </c>
      <c r="L29" s="178" t="e">
        <f t="shared" si="7"/>
        <v>#VALUE!</v>
      </c>
      <c r="N29" s="192" t="str">
        <f>IF(P29&gt;1,
   EDATE(N30,-1),
   IF(P29=1,
      EDATE('SAL. PROM MOD 40'!$C$22,-1),
      ""
   )
)</f>
        <v/>
      </c>
      <c r="O29" s="179">
        <f t="shared" si="10"/>
        <v>0</v>
      </c>
      <c r="P29" s="179">
        <f>IF(('SAL. PROM MOD 40'!$E$8*12+'SAL. PROM MOD 40'!$F$8)&gt;='2'!O29-0.5,O29,0)</f>
        <v>0</v>
      </c>
      <c r="Q29" s="193" t="e">
        <f t="shared" si="8"/>
        <v>#VALUE!</v>
      </c>
      <c r="R29" s="184" t="e">
        <f t="shared" si="11"/>
        <v>#VALUE!</v>
      </c>
      <c r="S29" s="184" t="e">
        <f t="shared" si="1"/>
        <v>#VALUE!</v>
      </c>
      <c r="T29" s="178" t="e">
        <f t="shared" si="9"/>
        <v>#VALUE!</v>
      </c>
    </row>
    <row r="30" spans="6:23">
      <c r="F30" s="192" t="str">
        <f t="shared" si="2"/>
        <v/>
      </c>
      <c r="G30" s="179">
        <f t="shared" si="3"/>
        <v>0</v>
      </c>
      <c r="H30" s="179">
        <f t="shared" si="4"/>
        <v>0</v>
      </c>
      <c r="I30" s="193" t="e">
        <f t="shared" si="5"/>
        <v>#VALUE!</v>
      </c>
      <c r="J30" s="184" t="e">
        <f t="shared" si="6"/>
        <v>#VALUE!</v>
      </c>
      <c r="K30" s="184" t="e">
        <f t="shared" si="0"/>
        <v>#VALUE!</v>
      </c>
      <c r="L30" s="178" t="e">
        <f t="shared" si="7"/>
        <v>#VALUE!</v>
      </c>
      <c r="N30" s="192" t="str">
        <f>IF(P30&gt;1,
   EDATE(N31,-1),
   IF(P30=1,
      EDATE('SAL. PROM MOD 40'!$C$22,-1),
      ""
   )
)</f>
        <v/>
      </c>
      <c r="O30" s="179">
        <f t="shared" si="10"/>
        <v>0</v>
      </c>
      <c r="P30" s="179">
        <f>IF(('SAL. PROM MOD 40'!$E$8*12+'SAL. PROM MOD 40'!$F$8)&gt;='2'!O30-0.5,O30,0)</f>
        <v>0</v>
      </c>
      <c r="Q30" s="193" t="e">
        <f t="shared" si="8"/>
        <v>#VALUE!</v>
      </c>
      <c r="R30" s="184" t="e">
        <f t="shared" si="11"/>
        <v>#VALUE!</v>
      </c>
      <c r="S30" s="184" t="e">
        <f t="shared" si="1"/>
        <v>#VALUE!</v>
      </c>
      <c r="T30" s="178" t="e">
        <f t="shared" si="9"/>
        <v>#VALUE!</v>
      </c>
    </row>
    <row r="31" spans="6:23">
      <c r="F31" s="192" t="str">
        <f t="shared" si="2"/>
        <v/>
      </c>
      <c r="G31" s="179">
        <f t="shared" si="3"/>
        <v>0</v>
      </c>
      <c r="H31" s="179">
        <f t="shared" si="4"/>
        <v>0</v>
      </c>
      <c r="I31" s="193" t="e">
        <f t="shared" si="5"/>
        <v>#VALUE!</v>
      </c>
      <c r="J31" s="184" t="e">
        <f t="shared" si="6"/>
        <v>#VALUE!</v>
      </c>
      <c r="K31" s="184" t="e">
        <f t="shared" si="0"/>
        <v>#VALUE!</v>
      </c>
      <c r="L31" s="178" t="e">
        <f t="shared" si="7"/>
        <v>#VALUE!</v>
      </c>
      <c r="N31" s="192" t="str">
        <f>IF(P31&gt;1,
   EDATE(N32,-1),
   IF(P31=1,
      EDATE('SAL. PROM MOD 40'!$C$22,-1),
      ""
   )
)</f>
        <v/>
      </c>
      <c r="O31" s="179">
        <f t="shared" si="10"/>
        <v>0</v>
      </c>
      <c r="P31" s="179">
        <f>IF(('SAL. PROM MOD 40'!$E$8*12+'SAL. PROM MOD 40'!$F$8)&gt;='2'!O31-0.5,O31,0)</f>
        <v>0</v>
      </c>
      <c r="Q31" s="193" t="e">
        <f t="shared" si="8"/>
        <v>#VALUE!</v>
      </c>
      <c r="R31" s="184" t="e">
        <f t="shared" si="11"/>
        <v>#VALUE!</v>
      </c>
      <c r="S31" s="184" t="e">
        <f t="shared" si="1"/>
        <v>#VALUE!</v>
      </c>
      <c r="T31" s="178" t="e">
        <f t="shared" si="9"/>
        <v>#VALUE!</v>
      </c>
    </row>
    <row r="32" spans="6:23">
      <c r="F32" s="192" t="str">
        <f t="shared" si="2"/>
        <v/>
      </c>
      <c r="G32" s="179">
        <f t="shared" si="3"/>
        <v>0</v>
      </c>
      <c r="H32" s="179">
        <f t="shared" si="4"/>
        <v>0</v>
      </c>
      <c r="I32" s="193" t="e">
        <f t="shared" si="5"/>
        <v>#VALUE!</v>
      </c>
      <c r="J32" s="184" t="e">
        <f t="shared" si="6"/>
        <v>#VALUE!</v>
      </c>
      <c r="K32" s="184" t="e">
        <f t="shared" si="0"/>
        <v>#VALUE!</v>
      </c>
      <c r="L32" s="178" t="e">
        <f t="shared" si="7"/>
        <v>#VALUE!</v>
      </c>
      <c r="N32" s="192" t="str">
        <f>IF(P32&gt;1,
   EDATE(N33,-1),
   IF(P32=1,
      EDATE('SAL. PROM MOD 40'!$C$22,-1),
      ""
   )
)</f>
        <v/>
      </c>
      <c r="O32" s="179">
        <f t="shared" si="10"/>
        <v>0</v>
      </c>
      <c r="P32" s="179">
        <f>IF(('SAL. PROM MOD 40'!$E$8*12+'SAL. PROM MOD 40'!$F$8)&gt;='2'!O32-0.5,O32,0)</f>
        <v>0</v>
      </c>
      <c r="Q32" s="193" t="e">
        <f t="shared" si="8"/>
        <v>#VALUE!</v>
      </c>
      <c r="R32" s="184" t="e">
        <f t="shared" si="11"/>
        <v>#VALUE!</v>
      </c>
      <c r="S32" s="184" t="e">
        <f t="shared" si="1"/>
        <v>#VALUE!</v>
      </c>
      <c r="T32" s="178" t="e">
        <f t="shared" si="9"/>
        <v>#VALUE!</v>
      </c>
    </row>
    <row r="33" spans="6:20">
      <c r="F33" s="192" t="str">
        <f t="shared" si="2"/>
        <v/>
      </c>
      <c r="G33" s="179">
        <f t="shared" si="3"/>
        <v>0</v>
      </c>
      <c r="H33" s="179">
        <f t="shared" si="4"/>
        <v>0</v>
      </c>
      <c r="I33" s="193" t="e">
        <f t="shared" si="5"/>
        <v>#VALUE!</v>
      </c>
      <c r="J33" s="184" t="e">
        <f t="shared" si="6"/>
        <v>#VALUE!</v>
      </c>
      <c r="K33" s="184" t="e">
        <f t="shared" si="0"/>
        <v>#VALUE!</v>
      </c>
      <c r="L33" s="178" t="e">
        <f t="shared" si="7"/>
        <v>#VALUE!</v>
      </c>
      <c r="N33" s="192" t="str">
        <f>IF(P33&gt;1,
   EDATE(N34,-1),
   IF(P33=1,
      EDATE('SAL. PROM MOD 40'!$C$22,-1),
      ""
   )
)</f>
        <v/>
      </c>
      <c r="O33" s="179">
        <f t="shared" si="10"/>
        <v>0</v>
      </c>
      <c r="P33" s="179">
        <f>IF(('SAL. PROM MOD 40'!$E$8*12+'SAL. PROM MOD 40'!$F$8)&gt;='2'!O33-0.5,O33,0)</f>
        <v>0</v>
      </c>
      <c r="Q33" s="193" t="e">
        <f t="shared" si="8"/>
        <v>#VALUE!</v>
      </c>
      <c r="R33" s="184" t="e">
        <f t="shared" si="11"/>
        <v>#VALUE!</v>
      </c>
      <c r="S33" s="184" t="e">
        <f t="shared" si="1"/>
        <v>#VALUE!</v>
      </c>
      <c r="T33" s="178" t="e">
        <f t="shared" si="9"/>
        <v>#VALUE!</v>
      </c>
    </row>
    <row r="34" spans="6:20">
      <c r="F34" s="192" t="str">
        <f t="shared" si="2"/>
        <v/>
      </c>
      <c r="G34" s="179">
        <f t="shared" si="3"/>
        <v>0</v>
      </c>
      <c r="H34" s="179">
        <f t="shared" si="4"/>
        <v>0</v>
      </c>
      <c r="I34" s="193" t="e">
        <f t="shared" si="5"/>
        <v>#VALUE!</v>
      </c>
      <c r="J34" s="184" t="e">
        <f t="shared" si="6"/>
        <v>#VALUE!</v>
      </c>
      <c r="K34" s="184" t="e">
        <f t="shared" ref="K34:K61" si="12">+G34*J34</f>
        <v>#VALUE!</v>
      </c>
      <c r="L34" s="178" t="e">
        <f t="shared" si="7"/>
        <v>#VALUE!</v>
      </c>
      <c r="N34" s="192" t="str">
        <f>IF(P34&gt;1,
   EDATE(N35,-1),
   IF(P34=1,
      EDATE('SAL. PROM MOD 40'!$C$22,-1),
      ""
   )
)</f>
        <v/>
      </c>
      <c r="O34" s="179">
        <f t="shared" si="10"/>
        <v>0</v>
      </c>
      <c r="P34" s="179">
        <f>IF(('SAL. PROM MOD 40'!$E$8*12+'SAL. PROM MOD 40'!$F$8)&gt;='2'!O34-0.5,O34,0)</f>
        <v>0</v>
      </c>
      <c r="Q34" s="193" t="e">
        <f t="shared" si="8"/>
        <v>#VALUE!</v>
      </c>
      <c r="R34" s="184" t="e">
        <f t="shared" si="11"/>
        <v>#VALUE!</v>
      </c>
      <c r="S34" s="184" t="e">
        <f t="shared" ref="S34:S61" si="13">+O34*R34</f>
        <v>#VALUE!</v>
      </c>
      <c r="T34" s="178" t="e">
        <f t="shared" si="9"/>
        <v>#VALUE!</v>
      </c>
    </row>
    <row r="35" spans="6:20">
      <c r="F35" s="192" t="str">
        <f t="shared" si="2"/>
        <v/>
      </c>
      <c r="G35" s="179">
        <f t="shared" si="3"/>
        <v>0</v>
      </c>
      <c r="H35" s="179">
        <f t="shared" si="4"/>
        <v>0</v>
      </c>
      <c r="I35" s="193" t="e">
        <f t="shared" si="5"/>
        <v>#VALUE!</v>
      </c>
      <c r="J35" s="184" t="e">
        <f t="shared" si="6"/>
        <v>#VALUE!</v>
      </c>
      <c r="K35" s="184" t="e">
        <f t="shared" si="12"/>
        <v>#VALUE!</v>
      </c>
      <c r="L35" s="178" t="e">
        <f t="shared" si="7"/>
        <v>#VALUE!</v>
      </c>
      <c r="N35" s="192" t="str">
        <f>IF(P35&gt;1,
   EDATE(N36,-1),
   IF(P35=1,
      EDATE('SAL. PROM MOD 40'!$C$22,-1),
      ""
   )
)</f>
        <v/>
      </c>
      <c r="O35" s="179">
        <f t="shared" si="10"/>
        <v>0</v>
      </c>
      <c r="P35" s="179">
        <f>IF(('SAL. PROM MOD 40'!$E$8*12+'SAL. PROM MOD 40'!$F$8)&gt;='2'!O35-0.5,O35,0)</f>
        <v>0</v>
      </c>
      <c r="Q35" s="193" t="e">
        <f t="shared" si="8"/>
        <v>#VALUE!</v>
      </c>
      <c r="R35" s="184" t="e">
        <f t="shared" si="11"/>
        <v>#VALUE!</v>
      </c>
      <c r="S35" s="184" t="e">
        <f t="shared" si="13"/>
        <v>#VALUE!</v>
      </c>
      <c r="T35" s="178" t="e">
        <f t="shared" si="9"/>
        <v>#VALUE!</v>
      </c>
    </row>
    <row r="36" spans="6:20">
      <c r="F36" s="192" t="str">
        <f t="shared" si="2"/>
        <v/>
      </c>
      <c r="G36" s="179">
        <f t="shared" si="3"/>
        <v>0</v>
      </c>
      <c r="H36" s="179">
        <f t="shared" si="4"/>
        <v>0</v>
      </c>
      <c r="I36" s="193" t="e">
        <f t="shared" si="5"/>
        <v>#VALUE!</v>
      </c>
      <c r="J36" s="184" t="e">
        <f t="shared" si="6"/>
        <v>#VALUE!</v>
      </c>
      <c r="K36" s="184" t="e">
        <f t="shared" si="12"/>
        <v>#VALUE!</v>
      </c>
      <c r="L36" s="178" t="e">
        <f t="shared" si="7"/>
        <v>#VALUE!</v>
      </c>
      <c r="N36" s="192" t="str">
        <f>IF(P36&gt;1,
   EDATE(N37,-1),
   IF(P36=1,
      EDATE('SAL. PROM MOD 40'!$C$22,-1),
      ""
   )
)</f>
        <v/>
      </c>
      <c r="O36" s="179">
        <f t="shared" si="10"/>
        <v>0</v>
      </c>
      <c r="P36" s="179">
        <f>IF(('SAL. PROM MOD 40'!$E$8*12+'SAL. PROM MOD 40'!$F$8)&gt;='2'!O36-0.5,O36,0)</f>
        <v>0</v>
      </c>
      <c r="Q36" s="193" t="e">
        <f t="shared" si="8"/>
        <v>#VALUE!</v>
      </c>
      <c r="R36" s="184" t="e">
        <f t="shared" si="11"/>
        <v>#VALUE!</v>
      </c>
      <c r="S36" s="184" t="e">
        <f t="shared" si="13"/>
        <v>#VALUE!</v>
      </c>
      <c r="T36" s="178" t="e">
        <f t="shared" si="9"/>
        <v>#VALUE!</v>
      </c>
    </row>
    <row r="37" spans="6:20">
      <c r="F37" s="192" t="str">
        <f t="shared" si="2"/>
        <v/>
      </c>
      <c r="G37" s="179">
        <f t="shared" si="3"/>
        <v>0</v>
      </c>
      <c r="H37" s="179">
        <f t="shared" si="4"/>
        <v>0</v>
      </c>
      <c r="I37" s="193" t="e">
        <f t="shared" si="5"/>
        <v>#VALUE!</v>
      </c>
      <c r="J37" s="184" t="e">
        <f t="shared" si="6"/>
        <v>#VALUE!</v>
      </c>
      <c r="K37" s="184" t="e">
        <f t="shared" si="12"/>
        <v>#VALUE!</v>
      </c>
      <c r="L37" s="178" t="e">
        <f t="shared" si="7"/>
        <v>#VALUE!</v>
      </c>
      <c r="N37" s="192" t="str">
        <f>IF(P37&gt;1,
   EDATE(N38,-1),
   IF(P37=1,
      EDATE('SAL. PROM MOD 40'!$C$22,-1),
      ""
   )
)</f>
        <v/>
      </c>
      <c r="O37" s="179">
        <f t="shared" si="10"/>
        <v>0</v>
      </c>
      <c r="P37" s="179">
        <f>IF(('SAL. PROM MOD 40'!$E$8*12+'SAL. PROM MOD 40'!$F$8)&gt;='2'!O37-0.5,O37,0)</f>
        <v>0</v>
      </c>
      <c r="Q37" s="193" t="e">
        <f t="shared" si="8"/>
        <v>#VALUE!</v>
      </c>
      <c r="R37" s="184" t="e">
        <f t="shared" si="11"/>
        <v>#VALUE!</v>
      </c>
      <c r="S37" s="184" t="e">
        <f t="shared" si="13"/>
        <v>#VALUE!</v>
      </c>
      <c r="T37" s="178" t="e">
        <f t="shared" si="9"/>
        <v>#VALUE!</v>
      </c>
    </row>
    <row r="38" spans="6:20">
      <c r="F38" s="192" t="str">
        <f t="shared" si="2"/>
        <v/>
      </c>
      <c r="G38" s="179">
        <f t="shared" si="3"/>
        <v>0</v>
      </c>
      <c r="H38" s="179">
        <f t="shared" si="4"/>
        <v>0</v>
      </c>
      <c r="I38" s="193" t="e">
        <f t="shared" si="5"/>
        <v>#VALUE!</v>
      </c>
      <c r="J38" s="184" t="e">
        <f t="shared" si="6"/>
        <v>#VALUE!</v>
      </c>
      <c r="K38" s="184" t="e">
        <f t="shared" si="12"/>
        <v>#VALUE!</v>
      </c>
      <c r="L38" s="178" t="e">
        <f t="shared" si="7"/>
        <v>#VALUE!</v>
      </c>
      <c r="N38" s="192" t="str">
        <f>IF(P38&gt;1,
   EDATE(N39,-1),
   IF(P38=1,
      EDATE('SAL. PROM MOD 40'!$C$22,-1),
      ""
   )
)</f>
        <v/>
      </c>
      <c r="O38" s="179">
        <f t="shared" si="10"/>
        <v>0</v>
      </c>
      <c r="P38" s="179">
        <f>IF(('SAL. PROM MOD 40'!$E$8*12+'SAL. PROM MOD 40'!$F$8)&gt;='2'!O38-0.5,O38,0)</f>
        <v>0</v>
      </c>
      <c r="Q38" s="193" t="e">
        <f t="shared" si="8"/>
        <v>#VALUE!</v>
      </c>
      <c r="R38" s="184" t="e">
        <f t="shared" si="11"/>
        <v>#VALUE!</v>
      </c>
      <c r="S38" s="184" t="e">
        <f t="shared" si="13"/>
        <v>#VALUE!</v>
      </c>
      <c r="T38" s="178" t="e">
        <f t="shared" si="9"/>
        <v>#VALUE!</v>
      </c>
    </row>
    <row r="39" spans="6:20">
      <c r="F39" s="192" t="str">
        <f t="shared" si="2"/>
        <v/>
      </c>
      <c r="G39" s="179">
        <f t="shared" si="3"/>
        <v>0</v>
      </c>
      <c r="H39" s="179">
        <f t="shared" si="4"/>
        <v>0</v>
      </c>
      <c r="I39" s="193" t="e">
        <f t="shared" si="5"/>
        <v>#VALUE!</v>
      </c>
      <c r="J39" s="184" t="e">
        <f t="shared" si="6"/>
        <v>#VALUE!</v>
      </c>
      <c r="K39" s="184" t="e">
        <f t="shared" si="12"/>
        <v>#VALUE!</v>
      </c>
      <c r="L39" s="178" t="e">
        <f t="shared" si="7"/>
        <v>#VALUE!</v>
      </c>
      <c r="N39" s="192" t="str">
        <f>IF(P39&gt;1,
   EDATE(N40,-1),
   IF(P39=1,
      EDATE('SAL. PROM MOD 40'!$C$22,-1),
      ""
   )
)</f>
        <v/>
      </c>
      <c r="O39" s="179">
        <f t="shared" si="10"/>
        <v>0</v>
      </c>
      <c r="P39" s="179">
        <f>IF(('SAL. PROM MOD 40'!$E$8*12+'SAL. PROM MOD 40'!$F$8)&gt;='2'!O39-0.5,O39,0)</f>
        <v>0</v>
      </c>
      <c r="Q39" s="193" t="e">
        <f t="shared" si="8"/>
        <v>#VALUE!</v>
      </c>
      <c r="R39" s="184" t="e">
        <f t="shared" si="11"/>
        <v>#VALUE!</v>
      </c>
      <c r="S39" s="184" t="e">
        <f t="shared" si="13"/>
        <v>#VALUE!</v>
      </c>
      <c r="T39" s="178" t="e">
        <f t="shared" si="9"/>
        <v>#VALUE!</v>
      </c>
    </row>
    <row r="40" spans="6:20">
      <c r="F40" s="192" t="str">
        <f t="shared" si="2"/>
        <v/>
      </c>
      <c r="G40" s="179">
        <f t="shared" si="3"/>
        <v>0</v>
      </c>
      <c r="H40" s="179">
        <f t="shared" si="4"/>
        <v>0</v>
      </c>
      <c r="I40" s="193" t="e">
        <f t="shared" si="5"/>
        <v>#VALUE!</v>
      </c>
      <c r="J40" s="184" t="e">
        <f t="shared" si="6"/>
        <v>#VALUE!</v>
      </c>
      <c r="K40" s="184" t="e">
        <f t="shared" si="12"/>
        <v>#VALUE!</v>
      </c>
      <c r="L40" s="178" t="e">
        <f t="shared" si="7"/>
        <v>#VALUE!</v>
      </c>
      <c r="N40" s="192" t="str">
        <f>IF(P40&gt;1,
   EDATE(N41,-1),
   IF(P40=1,
      EDATE('SAL. PROM MOD 40'!$C$22,-1),
      ""
   )
)</f>
        <v/>
      </c>
      <c r="O40" s="179">
        <f t="shared" si="10"/>
        <v>0</v>
      </c>
      <c r="P40" s="179">
        <f>IF(('SAL. PROM MOD 40'!$E$8*12+'SAL. PROM MOD 40'!$F$8)&gt;='2'!O40-0.5,O40,0)</f>
        <v>0</v>
      </c>
      <c r="Q40" s="193" t="e">
        <f t="shared" si="8"/>
        <v>#VALUE!</v>
      </c>
      <c r="R40" s="184" t="e">
        <f t="shared" si="11"/>
        <v>#VALUE!</v>
      </c>
      <c r="S40" s="184" t="e">
        <f t="shared" si="13"/>
        <v>#VALUE!</v>
      </c>
      <c r="T40" s="178" t="e">
        <f t="shared" si="9"/>
        <v>#VALUE!</v>
      </c>
    </row>
    <row r="41" spans="6:20">
      <c r="F41" s="192" t="str">
        <f t="shared" si="2"/>
        <v/>
      </c>
      <c r="G41" s="179">
        <f t="shared" si="3"/>
        <v>0</v>
      </c>
      <c r="H41" s="179">
        <f t="shared" si="4"/>
        <v>0</v>
      </c>
      <c r="I41" s="193" t="e">
        <f t="shared" si="5"/>
        <v>#VALUE!</v>
      </c>
      <c r="J41" s="184" t="e">
        <f t="shared" si="6"/>
        <v>#VALUE!</v>
      </c>
      <c r="K41" s="184" t="e">
        <f t="shared" si="12"/>
        <v>#VALUE!</v>
      </c>
      <c r="L41" s="178" t="e">
        <f t="shared" si="7"/>
        <v>#VALUE!</v>
      </c>
      <c r="N41" s="192" t="str">
        <f>IF(P41&gt;1,
   EDATE(N42,-1),
   IF(P41=1,
      EDATE('SAL. PROM MOD 40'!$C$22,-1),
      ""
   )
)</f>
        <v/>
      </c>
      <c r="O41" s="179">
        <f t="shared" si="10"/>
        <v>0</v>
      </c>
      <c r="P41" s="179">
        <f>IF(('SAL. PROM MOD 40'!$E$8*12+'SAL. PROM MOD 40'!$F$8)&gt;='2'!O41-0.5,O41,0)</f>
        <v>0</v>
      </c>
      <c r="Q41" s="193" t="e">
        <f t="shared" si="8"/>
        <v>#VALUE!</v>
      </c>
      <c r="R41" s="184" t="e">
        <f t="shared" si="11"/>
        <v>#VALUE!</v>
      </c>
      <c r="S41" s="184" t="e">
        <f t="shared" si="13"/>
        <v>#VALUE!</v>
      </c>
      <c r="T41" s="178" t="e">
        <f t="shared" si="9"/>
        <v>#VALUE!</v>
      </c>
    </row>
    <row r="42" spans="6:20">
      <c r="F42" s="192" t="str">
        <f t="shared" si="2"/>
        <v/>
      </c>
      <c r="G42" s="179">
        <f t="shared" si="3"/>
        <v>0</v>
      </c>
      <c r="H42" s="179">
        <f t="shared" si="4"/>
        <v>0</v>
      </c>
      <c r="I42" s="193" t="e">
        <f t="shared" si="5"/>
        <v>#VALUE!</v>
      </c>
      <c r="J42" s="184" t="e">
        <f t="shared" si="6"/>
        <v>#VALUE!</v>
      </c>
      <c r="K42" s="184" t="e">
        <f t="shared" si="12"/>
        <v>#VALUE!</v>
      </c>
      <c r="L42" s="178" t="e">
        <f t="shared" si="7"/>
        <v>#VALUE!</v>
      </c>
      <c r="N42" s="192" t="str">
        <f>IF(P42&gt;1,
   EDATE(N43,-1),
   IF(P42=1,
      EDATE('SAL. PROM MOD 40'!$C$22,-1),
      ""
   )
)</f>
        <v/>
      </c>
      <c r="O42" s="179">
        <f t="shared" si="10"/>
        <v>0</v>
      </c>
      <c r="P42" s="179">
        <f>IF(('SAL. PROM MOD 40'!$E$8*12+'SAL. PROM MOD 40'!$F$8)&gt;='2'!O42-0.5,O42,0)</f>
        <v>0</v>
      </c>
      <c r="Q42" s="193" t="e">
        <f t="shared" si="8"/>
        <v>#VALUE!</v>
      </c>
      <c r="R42" s="184" t="e">
        <f t="shared" si="11"/>
        <v>#VALUE!</v>
      </c>
      <c r="S42" s="184" t="e">
        <f t="shared" si="13"/>
        <v>#VALUE!</v>
      </c>
      <c r="T42" s="178" t="e">
        <f t="shared" si="9"/>
        <v>#VALUE!</v>
      </c>
    </row>
    <row r="43" spans="6:20">
      <c r="F43" s="192" t="str">
        <f t="shared" si="2"/>
        <v/>
      </c>
      <c r="G43" s="179">
        <f t="shared" si="3"/>
        <v>0</v>
      </c>
      <c r="H43" s="179">
        <f t="shared" si="4"/>
        <v>0</v>
      </c>
      <c r="I43" s="193" t="e">
        <f t="shared" si="5"/>
        <v>#VALUE!</v>
      </c>
      <c r="J43" s="184" t="e">
        <f t="shared" si="6"/>
        <v>#VALUE!</v>
      </c>
      <c r="K43" s="184" t="e">
        <f t="shared" si="12"/>
        <v>#VALUE!</v>
      </c>
      <c r="L43" s="178" t="e">
        <f t="shared" si="7"/>
        <v>#VALUE!</v>
      </c>
      <c r="N43" s="192" t="str">
        <f>IF(P43&gt;1,
   EDATE(N44,-1),
   IF(P43=1,
      EDATE('SAL. PROM MOD 40'!$C$22,-1),
      ""
   )
)</f>
        <v/>
      </c>
      <c r="O43" s="179">
        <f t="shared" si="10"/>
        <v>0</v>
      </c>
      <c r="P43" s="179">
        <f>IF(('SAL. PROM MOD 40'!$E$8*12+'SAL. PROM MOD 40'!$F$8)&gt;='2'!O43-0.5,O43,0)</f>
        <v>0</v>
      </c>
      <c r="Q43" s="193" t="e">
        <f t="shared" si="8"/>
        <v>#VALUE!</v>
      </c>
      <c r="R43" s="184" t="e">
        <f t="shared" si="11"/>
        <v>#VALUE!</v>
      </c>
      <c r="S43" s="184" t="e">
        <f t="shared" si="13"/>
        <v>#VALUE!</v>
      </c>
      <c r="T43" s="178" t="e">
        <f t="shared" si="9"/>
        <v>#VALUE!</v>
      </c>
    </row>
    <row r="44" spans="6:20">
      <c r="F44" s="192" t="str">
        <f t="shared" si="2"/>
        <v/>
      </c>
      <c r="G44" s="179">
        <f t="shared" si="3"/>
        <v>0</v>
      </c>
      <c r="H44" s="179">
        <f t="shared" si="4"/>
        <v>0</v>
      </c>
      <c r="I44" s="193" t="e">
        <f t="shared" si="5"/>
        <v>#VALUE!</v>
      </c>
      <c r="J44" s="184" t="e">
        <f t="shared" si="6"/>
        <v>#VALUE!</v>
      </c>
      <c r="K44" s="184" t="e">
        <f t="shared" si="12"/>
        <v>#VALUE!</v>
      </c>
      <c r="L44" s="178" t="e">
        <f t="shared" si="7"/>
        <v>#VALUE!</v>
      </c>
      <c r="N44" s="192" t="str">
        <f>IF(P44&gt;1,
   EDATE(N45,-1),
   IF(P44=1,
      EDATE('SAL. PROM MOD 40'!$C$22,-1),
      ""
   )
)</f>
        <v/>
      </c>
      <c r="O44" s="179">
        <f t="shared" si="10"/>
        <v>0</v>
      </c>
      <c r="P44" s="179">
        <f>IF(('SAL. PROM MOD 40'!$E$8*12+'SAL. PROM MOD 40'!$F$8)&gt;='2'!O44-0.5,O44,0)</f>
        <v>0</v>
      </c>
      <c r="Q44" s="193" t="e">
        <f t="shared" si="8"/>
        <v>#VALUE!</v>
      </c>
      <c r="R44" s="184" t="e">
        <f t="shared" si="11"/>
        <v>#VALUE!</v>
      </c>
      <c r="S44" s="184" t="e">
        <f t="shared" si="13"/>
        <v>#VALUE!</v>
      </c>
      <c r="T44" s="178" t="e">
        <f t="shared" si="9"/>
        <v>#VALUE!</v>
      </c>
    </row>
    <row r="45" spans="6:20">
      <c r="F45" s="192" t="str">
        <f t="shared" si="2"/>
        <v/>
      </c>
      <c r="G45" s="179">
        <f t="shared" si="3"/>
        <v>0</v>
      </c>
      <c r="H45" s="179">
        <f t="shared" si="4"/>
        <v>0</v>
      </c>
      <c r="I45" s="193" t="e">
        <f t="shared" si="5"/>
        <v>#VALUE!</v>
      </c>
      <c r="J45" s="184" t="e">
        <f t="shared" si="6"/>
        <v>#VALUE!</v>
      </c>
      <c r="K45" s="184" t="e">
        <f t="shared" si="12"/>
        <v>#VALUE!</v>
      </c>
      <c r="L45" s="178" t="e">
        <f t="shared" si="7"/>
        <v>#VALUE!</v>
      </c>
      <c r="N45" s="192" t="str">
        <f>IF(P45&gt;1,
   EDATE(N46,-1),
   IF(P45=1,
      EDATE('SAL. PROM MOD 40'!$C$22,-1),
      ""
   )
)</f>
        <v/>
      </c>
      <c r="O45" s="179">
        <f t="shared" si="10"/>
        <v>0</v>
      </c>
      <c r="P45" s="179">
        <f>IF(('SAL. PROM MOD 40'!$E$8*12+'SAL. PROM MOD 40'!$F$8)&gt;='2'!O45-0.5,O45,0)</f>
        <v>0</v>
      </c>
      <c r="Q45" s="193" t="e">
        <f t="shared" si="8"/>
        <v>#VALUE!</v>
      </c>
      <c r="R45" s="184" t="e">
        <f t="shared" si="11"/>
        <v>#VALUE!</v>
      </c>
      <c r="S45" s="184" t="e">
        <f t="shared" si="13"/>
        <v>#VALUE!</v>
      </c>
      <c r="T45" s="178" t="e">
        <f t="shared" si="9"/>
        <v>#VALUE!</v>
      </c>
    </row>
    <row r="46" spans="6:20">
      <c r="F46" s="192" t="str">
        <f t="shared" si="2"/>
        <v/>
      </c>
      <c r="G46" s="179">
        <f t="shared" si="3"/>
        <v>0</v>
      </c>
      <c r="H46" s="179">
        <f t="shared" si="4"/>
        <v>0</v>
      </c>
      <c r="I46" s="193" t="e">
        <f t="shared" si="5"/>
        <v>#VALUE!</v>
      </c>
      <c r="J46" s="184" t="e">
        <f t="shared" si="6"/>
        <v>#VALUE!</v>
      </c>
      <c r="K46" s="184" t="e">
        <f t="shared" si="12"/>
        <v>#VALUE!</v>
      </c>
      <c r="L46" s="178" t="e">
        <f t="shared" si="7"/>
        <v>#VALUE!</v>
      </c>
      <c r="N46" s="192" t="str">
        <f>IF(P46&gt;1,
   EDATE(N47,-1),
   IF(P46=1,
      EDATE('SAL. PROM MOD 40'!$C$22,-1),
      ""
   )
)</f>
        <v/>
      </c>
      <c r="O46" s="179">
        <f t="shared" si="10"/>
        <v>0</v>
      </c>
      <c r="P46" s="179">
        <f>IF(('SAL. PROM MOD 40'!$E$8*12+'SAL. PROM MOD 40'!$F$8)&gt;='2'!O46-0.5,O46,0)</f>
        <v>0</v>
      </c>
      <c r="Q46" s="193" t="e">
        <f t="shared" si="8"/>
        <v>#VALUE!</v>
      </c>
      <c r="R46" s="184" t="e">
        <f t="shared" si="11"/>
        <v>#VALUE!</v>
      </c>
      <c r="S46" s="184" t="e">
        <f t="shared" si="13"/>
        <v>#VALUE!</v>
      </c>
      <c r="T46" s="178" t="e">
        <f t="shared" si="9"/>
        <v>#VALUE!</v>
      </c>
    </row>
    <row r="47" spans="6:20">
      <c r="F47" s="192" t="str">
        <f t="shared" si="2"/>
        <v/>
      </c>
      <c r="G47" s="179">
        <f t="shared" si="3"/>
        <v>0</v>
      </c>
      <c r="H47" s="179">
        <f t="shared" si="4"/>
        <v>0</v>
      </c>
      <c r="I47" s="193" t="e">
        <f t="shared" si="5"/>
        <v>#VALUE!</v>
      </c>
      <c r="J47" s="184" t="e">
        <f t="shared" si="6"/>
        <v>#VALUE!</v>
      </c>
      <c r="K47" s="184" t="e">
        <f t="shared" si="12"/>
        <v>#VALUE!</v>
      </c>
      <c r="L47" s="178" t="e">
        <f t="shared" si="7"/>
        <v>#VALUE!</v>
      </c>
      <c r="N47" s="192" t="str">
        <f>IF(P47&gt;1,
   EDATE(N48,-1),
   IF(P47=1,
      EDATE('SAL. PROM MOD 40'!$C$22,-1),
      ""
   )
)</f>
        <v/>
      </c>
      <c r="O47" s="179">
        <f t="shared" si="10"/>
        <v>0</v>
      </c>
      <c r="P47" s="179">
        <f>IF(('SAL. PROM MOD 40'!$E$8*12+'SAL. PROM MOD 40'!$F$8)&gt;='2'!O47-0.5,O47,0)</f>
        <v>0</v>
      </c>
      <c r="Q47" s="193" t="e">
        <f t="shared" si="8"/>
        <v>#VALUE!</v>
      </c>
      <c r="R47" s="184" t="e">
        <f t="shared" si="11"/>
        <v>#VALUE!</v>
      </c>
      <c r="S47" s="184" t="e">
        <f t="shared" si="13"/>
        <v>#VALUE!</v>
      </c>
      <c r="T47" s="178" t="e">
        <f t="shared" si="9"/>
        <v>#VALUE!</v>
      </c>
    </row>
    <row r="48" spans="6:20">
      <c r="F48" s="192" t="str">
        <f t="shared" si="2"/>
        <v/>
      </c>
      <c r="G48" s="179">
        <f t="shared" si="3"/>
        <v>0</v>
      </c>
      <c r="H48" s="179">
        <f t="shared" si="4"/>
        <v>0</v>
      </c>
      <c r="I48" s="193" t="e">
        <f t="shared" si="5"/>
        <v>#VALUE!</v>
      </c>
      <c r="J48" s="184" t="e">
        <f t="shared" si="6"/>
        <v>#VALUE!</v>
      </c>
      <c r="K48" s="184" t="e">
        <f t="shared" si="12"/>
        <v>#VALUE!</v>
      </c>
      <c r="L48" s="178" t="e">
        <f t="shared" si="7"/>
        <v>#VALUE!</v>
      </c>
      <c r="N48" s="192" t="str">
        <f>IF(P48&gt;1,
   EDATE(N49,-1),
   IF(P48=1,
      EDATE('SAL. PROM MOD 40'!$C$22,-1),
      ""
   )
)</f>
        <v/>
      </c>
      <c r="O48" s="179">
        <f t="shared" si="10"/>
        <v>0</v>
      </c>
      <c r="P48" s="179">
        <f>IF(('SAL. PROM MOD 40'!$E$8*12+'SAL. PROM MOD 40'!$F$8)&gt;='2'!O48-0.5,O48,0)</f>
        <v>0</v>
      </c>
      <c r="Q48" s="193" t="e">
        <f t="shared" si="8"/>
        <v>#VALUE!</v>
      </c>
      <c r="R48" s="184" t="e">
        <f t="shared" si="11"/>
        <v>#VALUE!</v>
      </c>
      <c r="S48" s="184" t="e">
        <f t="shared" si="13"/>
        <v>#VALUE!</v>
      </c>
      <c r="T48" s="178" t="e">
        <f t="shared" si="9"/>
        <v>#VALUE!</v>
      </c>
    </row>
    <row r="49" spans="6:20">
      <c r="F49" s="192" t="str">
        <f t="shared" si="2"/>
        <v/>
      </c>
      <c r="G49" s="179">
        <f t="shared" si="3"/>
        <v>0</v>
      </c>
      <c r="H49" s="179">
        <f t="shared" si="4"/>
        <v>0</v>
      </c>
      <c r="I49" s="193" t="e">
        <f t="shared" si="5"/>
        <v>#VALUE!</v>
      </c>
      <c r="J49" s="184" t="e">
        <f t="shared" si="6"/>
        <v>#VALUE!</v>
      </c>
      <c r="K49" s="184" t="e">
        <f t="shared" si="12"/>
        <v>#VALUE!</v>
      </c>
      <c r="L49" s="178" t="e">
        <f t="shared" si="7"/>
        <v>#VALUE!</v>
      </c>
      <c r="N49" s="192" t="str">
        <f>IF(P49&gt;1,
   EDATE(N50,-1),
   IF(P49=1,
      EDATE('SAL. PROM MOD 40'!$C$22,-1),
      ""
   )
)</f>
        <v/>
      </c>
      <c r="O49" s="179">
        <f t="shared" si="10"/>
        <v>0</v>
      </c>
      <c r="P49" s="179">
        <f>IF(('SAL. PROM MOD 40'!$E$8*12+'SAL. PROM MOD 40'!$F$8)&gt;='2'!O49-0.5,O49,0)</f>
        <v>0</v>
      </c>
      <c r="Q49" s="193" t="e">
        <f t="shared" si="8"/>
        <v>#VALUE!</v>
      </c>
      <c r="R49" s="184" t="e">
        <f t="shared" si="11"/>
        <v>#VALUE!</v>
      </c>
      <c r="S49" s="184" t="e">
        <f t="shared" si="13"/>
        <v>#VALUE!</v>
      </c>
      <c r="T49" s="178" t="e">
        <f t="shared" si="9"/>
        <v>#VALUE!</v>
      </c>
    </row>
    <row r="50" spans="6:20">
      <c r="F50" s="192" t="str">
        <f t="shared" si="2"/>
        <v/>
      </c>
      <c r="G50" s="179">
        <f t="shared" si="3"/>
        <v>0</v>
      </c>
      <c r="H50" s="179">
        <f t="shared" si="4"/>
        <v>0</v>
      </c>
      <c r="I50" s="193" t="e">
        <f t="shared" si="5"/>
        <v>#VALUE!</v>
      </c>
      <c r="J50" s="184" t="e">
        <f t="shared" si="6"/>
        <v>#VALUE!</v>
      </c>
      <c r="K50" s="184" t="e">
        <f t="shared" si="12"/>
        <v>#VALUE!</v>
      </c>
      <c r="L50" s="178" t="e">
        <f t="shared" si="7"/>
        <v>#VALUE!</v>
      </c>
      <c r="N50" s="192" t="str">
        <f>IF(P50&gt;1,
   EDATE(N51,-1),
   IF(P50=1,
      EDATE('SAL. PROM MOD 40'!$C$22,-1),
      ""
   )
)</f>
        <v/>
      </c>
      <c r="O50" s="179">
        <f t="shared" si="10"/>
        <v>0</v>
      </c>
      <c r="P50" s="179">
        <f>IF(('SAL. PROM MOD 40'!$E$8*12+'SAL. PROM MOD 40'!$F$8)&gt;='2'!O50-0.5,O50,0)</f>
        <v>0</v>
      </c>
      <c r="Q50" s="193" t="e">
        <f t="shared" si="8"/>
        <v>#VALUE!</v>
      </c>
      <c r="R50" s="184" t="e">
        <f t="shared" si="11"/>
        <v>#VALUE!</v>
      </c>
      <c r="S50" s="184" t="e">
        <f t="shared" si="13"/>
        <v>#VALUE!</v>
      </c>
      <c r="T50" s="178" t="e">
        <f t="shared" si="9"/>
        <v>#VALUE!</v>
      </c>
    </row>
    <row r="51" spans="6:20">
      <c r="F51" s="192" t="str">
        <f t="shared" si="2"/>
        <v/>
      </c>
      <c r="G51" s="179">
        <f t="shared" si="3"/>
        <v>0</v>
      </c>
      <c r="H51" s="179">
        <f t="shared" si="4"/>
        <v>0</v>
      </c>
      <c r="I51" s="193" t="e">
        <f t="shared" si="5"/>
        <v>#VALUE!</v>
      </c>
      <c r="J51" s="184" t="e">
        <f t="shared" si="6"/>
        <v>#VALUE!</v>
      </c>
      <c r="K51" s="184" t="e">
        <f t="shared" si="12"/>
        <v>#VALUE!</v>
      </c>
      <c r="L51" s="178" t="e">
        <f t="shared" si="7"/>
        <v>#VALUE!</v>
      </c>
      <c r="N51" s="192" t="str">
        <f>IF(P51&gt;1,
   EDATE(N52,-1),
   IF(P51=1,
      EDATE('SAL. PROM MOD 40'!$C$22,-1),
      ""
   )
)</f>
        <v/>
      </c>
      <c r="O51" s="179">
        <f t="shared" si="10"/>
        <v>0</v>
      </c>
      <c r="P51" s="179">
        <f>IF(('SAL. PROM MOD 40'!$E$8*12+'SAL. PROM MOD 40'!$F$8)&gt;='2'!O51-0.5,O51,0)</f>
        <v>0</v>
      </c>
      <c r="Q51" s="193" t="e">
        <f t="shared" si="8"/>
        <v>#VALUE!</v>
      </c>
      <c r="R51" s="184" t="e">
        <f t="shared" si="11"/>
        <v>#VALUE!</v>
      </c>
      <c r="S51" s="184" t="e">
        <f t="shared" si="13"/>
        <v>#VALUE!</v>
      </c>
      <c r="T51" s="178" t="e">
        <f t="shared" si="9"/>
        <v>#VALUE!</v>
      </c>
    </row>
    <row r="52" spans="6:20">
      <c r="F52" s="192" t="str">
        <f t="shared" si="2"/>
        <v/>
      </c>
      <c r="G52" s="179">
        <f t="shared" si="3"/>
        <v>0</v>
      </c>
      <c r="H52" s="179">
        <f t="shared" si="4"/>
        <v>0</v>
      </c>
      <c r="I52" s="193" t="e">
        <f t="shared" si="5"/>
        <v>#VALUE!</v>
      </c>
      <c r="J52" s="184" t="e">
        <f t="shared" si="6"/>
        <v>#VALUE!</v>
      </c>
      <c r="K52" s="184" t="e">
        <f t="shared" si="12"/>
        <v>#VALUE!</v>
      </c>
      <c r="L52" s="178" t="e">
        <f t="shared" si="7"/>
        <v>#VALUE!</v>
      </c>
      <c r="N52" s="192" t="str">
        <f>IF(P52&gt;1,
   EDATE(N53,-1),
   IF(P52=1,
      EDATE('SAL. PROM MOD 40'!$C$22,-1),
      ""
   )
)</f>
        <v/>
      </c>
      <c r="O52" s="179">
        <f t="shared" si="10"/>
        <v>0</v>
      </c>
      <c r="P52" s="179">
        <f>IF(('SAL. PROM MOD 40'!$E$8*12+'SAL. PROM MOD 40'!$F$8)&gt;='2'!O52-0.5,O52,0)</f>
        <v>0</v>
      </c>
      <c r="Q52" s="193" t="e">
        <f t="shared" si="8"/>
        <v>#VALUE!</v>
      </c>
      <c r="R52" s="184" t="e">
        <f t="shared" si="11"/>
        <v>#VALUE!</v>
      </c>
      <c r="S52" s="184" t="e">
        <f t="shared" si="13"/>
        <v>#VALUE!</v>
      </c>
      <c r="T52" s="178" t="e">
        <f t="shared" si="9"/>
        <v>#VALUE!</v>
      </c>
    </row>
    <row r="53" spans="6:20">
      <c r="F53" s="192" t="str">
        <f t="shared" si="2"/>
        <v/>
      </c>
      <c r="G53" s="179">
        <f t="shared" si="3"/>
        <v>0</v>
      </c>
      <c r="H53" s="179">
        <f t="shared" si="4"/>
        <v>0</v>
      </c>
      <c r="I53" s="193" t="e">
        <f t="shared" si="5"/>
        <v>#VALUE!</v>
      </c>
      <c r="J53" s="184" t="e">
        <f t="shared" si="6"/>
        <v>#VALUE!</v>
      </c>
      <c r="K53" s="184" t="e">
        <f t="shared" si="12"/>
        <v>#VALUE!</v>
      </c>
      <c r="L53" s="178" t="e">
        <f t="shared" si="7"/>
        <v>#VALUE!</v>
      </c>
      <c r="N53" s="192" t="str">
        <f>IF(P53&gt;1,
   EDATE(N54,-1),
   IF(P53=1,
      EDATE('SAL. PROM MOD 40'!$C$22,-1),
      ""
   )
)</f>
        <v/>
      </c>
      <c r="O53" s="179">
        <f t="shared" si="10"/>
        <v>0</v>
      </c>
      <c r="P53" s="179">
        <f>IF(('SAL. PROM MOD 40'!$E$8*12+'SAL. PROM MOD 40'!$F$8)&gt;='2'!O53-0.5,O53,0)</f>
        <v>0</v>
      </c>
      <c r="Q53" s="193" t="e">
        <f t="shared" si="8"/>
        <v>#VALUE!</v>
      </c>
      <c r="R53" s="184" t="e">
        <f t="shared" si="11"/>
        <v>#VALUE!</v>
      </c>
      <c r="S53" s="184" t="e">
        <f t="shared" si="13"/>
        <v>#VALUE!</v>
      </c>
      <c r="T53" s="178" t="e">
        <f t="shared" si="9"/>
        <v>#VALUE!</v>
      </c>
    </row>
    <row r="54" spans="6:20">
      <c r="F54" s="192" t="str">
        <f t="shared" si="2"/>
        <v/>
      </c>
      <c r="G54" s="179">
        <f t="shared" si="3"/>
        <v>0</v>
      </c>
      <c r="H54" s="179">
        <f t="shared" si="4"/>
        <v>0</v>
      </c>
      <c r="I54" s="193" t="e">
        <f t="shared" si="5"/>
        <v>#VALUE!</v>
      </c>
      <c r="J54" s="184" t="e">
        <f t="shared" si="6"/>
        <v>#VALUE!</v>
      </c>
      <c r="K54" s="184" t="e">
        <f t="shared" si="12"/>
        <v>#VALUE!</v>
      </c>
      <c r="L54" s="178" t="e">
        <f t="shared" si="7"/>
        <v>#VALUE!</v>
      </c>
      <c r="N54" s="192" t="str">
        <f>IF(P54&gt;1,
   EDATE(N55,-1),
   IF(P54=1,
      EDATE('SAL. PROM MOD 40'!$C$22,-1),
      ""
   )
)</f>
        <v/>
      </c>
      <c r="O54" s="179">
        <f t="shared" si="10"/>
        <v>0</v>
      </c>
      <c r="P54" s="179">
        <f>IF(('SAL. PROM MOD 40'!$E$8*12+'SAL. PROM MOD 40'!$F$8)&gt;='2'!O54-0.5,O54,0)</f>
        <v>0</v>
      </c>
      <c r="Q54" s="193" t="e">
        <f t="shared" si="8"/>
        <v>#VALUE!</v>
      </c>
      <c r="R54" s="184" t="e">
        <f t="shared" si="11"/>
        <v>#VALUE!</v>
      </c>
      <c r="S54" s="184" t="e">
        <f t="shared" si="13"/>
        <v>#VALUE!</v>
      </c>
      <c r="T54" s="178" t="e">
        <f t="shared" si="9"/>
        <v>#VALUE!</v>
      </c>
    </row>
    <row r="55" spans="6:20">
      <c r="F55" s="192" t="str">
        <f t="shared" si="2"/>
        <v/>
      </c>
      <c r="G55" s="179">
        <f t="shared" si="3"/>
        <v>0</v>
      </c>
      <c r="H55" s="179">
        <f t="shared" si="4"/>
        <v>0</v>
      </c>
      <c r="I55" s="193" t="e">
        <f t="shared" si="5"/>
        <v>#VALUE!</v>
      </c>
      <c r="J55" s="184" t="e">
        <f t="shared" si="6"/>
        <v>#VALUE!</v>
      </c>
      <c r="K55" s="184" t="e">
        <f t="shared" si="12"/>
        <v>#VALUE!</v>
      </c>
      <c r="L55" s="178" t="e">
        <f t="shared" si="7"/>
        <v>#VALUE!</v>
      </c>
      <c r="N55" s="192" t="str">
        <f>IF(P55&gt;1,
   EDATE(N56,-1),
   IF(P55=1,
      EDATE('SAL. PROM MOD 40'!$C$22,-1),
      ""
   )
)</f>
        <v/>
      </c>
      <c r="O55" s="179">
        <f t="shared" si="10"/>
        <v>0</v>
      </c>
      <c r="P55" s="179">
        <f>IF(('SAL. PROM MOD 40'!$E$8*12+'SAL. PROM MOD 40'!$F$8)&gt;='2'!O55-0.5,O55,0)</f>
        <v>0</v>
      </c>
      <c r="Q55" s="193" t="e">
        <f t="shared" si="8"/>
        <v>#VALUE!</v>
      </c>
      <c r="R55" s="184" t="e">
        <f t="shared" si="11"/>
        <v>#VALUE!</v>
      </c>
      <c r="S55" s="184" t="e">
        <f t="shared" si="13"/>
        <v>#VALUE!</v>
      </c>
      <c r="T55" s="178" t="e">
        <f t="shared" si="9"/>
        <v>#VALUE!</v>
      </c>
    </row>
    <row r="56" spans="6:20">
      <c r="F56" s="192" t="str">
        <f t="shared" si="2"/>
        <v/>
      </c>
      <c r="G56" s="179">
        <f t="shared" si="3"/>
        <v>0</v>
      </c>
      <c r="H56" s="179">
        <f t="shared" si="4"/>
        <v>0</v>
      </c>
      <c r="I56" s="193" t="e">
        <f t="shared" si="5"/>
        <v>#VALUE!</v>
      </c>
      <c r="J56" s="184" t="e">
        <f t="shared" si="6"/>
        <v>#VALUE!</v>
      </c>
      <c r="K56" s="184" t="e">
        <f t="shared" si="12"/>
        <v>#VALUE!</v>
      </c>
      <c r="L56" s="178" t="e">
        <f t="shared" si="7"/>
        <v>#VALUE!</v>
      </c>
      <c r="N56" s="192" t="str">
        <f>IF(P56&gt;1,
   EDATE(N57,-1),
   IF(P56=1,
      EDATE('SAL. PROM MOD 40'!$C$22,-1),
      ""
   )
)</f>
        <v/>
      </c>
      <c r="O56" s="179">
        <f t="shared" si="10"/>
        <v>0</v>
      </c>
      <c r="P56" s="179">
        <f>IF(('SAL. PROM MOD 40'!$E$8*12+'SAL. PROM MOD 40'!$F$8)&gt;='2'!O56-0.5,O56,0)</f>
        <v>0</v>
      </c>
      <c r="Q56" s="193" t="e">
        <f t="shared" si="8"/>
        <v>#VALUE!</v>
      </c>
      <c r="R56" s="184" t="e">
        <f t="shared" si="11"/>
        <v>#VALUE!</v>
      </c>
      <c r="S56" s="184" t="e">
        <f t="shared" si="13"/>
        <v>#VALUE!</v>
      </c>
      <c r="T56" s="178" t="e">
        <f t="shared" si="9"/>
        <v>#VALUE!</v>
      </c>
    </row>
    <row r="57" spans="6:20">
      <c r="F57" s="192" t="str">
        <f t="shared" si="2"/>
        <v/>
      </c>
      <c r="G57" s="179">
        <f t="shared" si="3"/>
        <v>0</v>
      </c>
      <c r="H57" s="179">
        <f t="shared" si="4"/>
        <v>0</v>
      </c>
      <c r="I57" s="193" t="e">
        <f t="shared" si="5"/>
        <v>#VALUE!</v>
      </c>
      <c r="J57" s="184" t="e">
        <f t="shared" si="6"/>
        <v>#VALUE!</v>
      </c>
      <c r="K57" s="184" t="e">
        <f t="shared" si="12"/>
        <v>#VALUE!</v>
      </c>
      <c r="L57" s="178" t="e">
        <f t="shared" si="7"/>
        <v>#VALUE!</v>
      </c>
      <c r="N57" s="192" t="str">
        <f>IF(P57&gt;1,
   EDATE(N58,-1),
   IF(P57=1,
      EDATE('SAL. PROM MOD 40'!$C$22,-1),
      ""
   )
)</f>
        <v/>
      </c>
      <c r="O57" s="179">
        <f t="shared" si="10"/>
        <v>0</v>
      </c>
      <c r="P57" s="179">
        <f>IF(('SAL. PROM MOD 40'!$E$8*12+'SAL. PROM MOD 40'!$F$8)&gt;='2'!O57-0.5,O57,0)</f>
        <v>0</v>
      </c>
      <c r="Q57" s="193" t="e">
        <f t="shared" si="8"/>
        <v>#VALUE!</v>
      </c>
      <c r="R57" s="184" t="e">
        <f t="shared" si="11"/>
        <v>#VALUE!</v>
      </c>
      <c r="S57" s="184" t="e">
        <f t="shared" si="13"/>
        <v>#VALUE!</v>
      </c>
      <c r="T57" s="178" t="e">
        <f t="shared" si="9"/>
        <v>#VALUE!</v>
      </c>
    </row>
    <row r="58" spans="6:20">
      <c r="F58" s="192" t="str">
        <f t="shared" si="2"/>
        <v/>
      </c>
      <c r="G58" s="179">
        <f t="shared" si="3"/>
        <v>0</v>
      </c>
      <c r="H58" s="179">
        <f t="shared" si="4"/>
        <v>0</v>
      </c>
      <c r="I58" s="193" t="e">
        <f t="shared" si="5"/>
        <v>#VALUE!</v>
      </c>
      <c r="J58" s="184" t="e">
        <f t="shared" si="6"/>
        <v>#VALUE!</v>
      </c>
      <c r="K58" s="184" t="e">
        <f t="shared" si="12"/>
        <v>#VALUE!</v>
      </c>
      <c r="L58" s="178" t="e">
        <f t="shared" si="7"/>
        <v>#VALUE!</v>
      </c>
      <c r="N58" s="192" t="str">
        <f>IF(P58&gt;1,
   EDATE(N59,-1),
   IF(P58=1,
      EDATE('SAL. PROM MOD 40'!$C$22,-1),
      ""
   )
)</f>
        <v/>
      </c>
      <c r="O58" s="179">
        <f t="shared" si="10"/>
        <v>0</v>
      </c>
      <c r="P58" s="179">
        <f>IF(('SAL. PROM MOD 40'!$E$8*12+'SAL. PROM MOD 40'!$F$8)&gt;='2'!O58-0.5,O58,0)</f>
        <v>0</v>
      </c>
      <c r="Q58" s="193" t="e">
        <f t="shared" si="8"/>
        <v>#VALUE!</v>
      </c>
      <c r="R58" s="184" t="e">
        <f t="shared" si="11"/>
        <v>#VALUE!</v>
      </c>
      <c r="S58" s="184" t="e">
        <f t="shared" si="13"/>
        <v>#VALUE!</v>
      </c>
      <c r="T58" s="178" t="e">
        <f t="shared" si="9"/>
        <v>#VALUE!</v>
      </c>
    </row>
    <row r="59" spans="6:20">
      <c r="F59" s="192" t="str">
        <f t="shared" si="2"/>
        <v/>
      </c>
      <c r="G59" s="179">
        <f t="shared" si="3"/>
        <v>0</v>
      </c>
      <c r="H59" s="179">
        <f t="shared" si="4"/>
        <v>0</v>
      </c>
      <c r="I59" s="193" t="e">
        <f t="shared" si="5"/>
        <v>#VALUE!</v>
      </c>
      <c r="J59" s="184" t="e">
        <f t="shared" si="6"/>
        <v>#VALUE!</v>
      </c>
      <c r="K59" s="184" t="e">
        <f t="shared" si="12"/>
        <v>#VALUE!</v>
      </c>
      <c r="L59" s="178" t="e">
        <f t="shared" si="7"/>
        <v>#VALUE!</v>
      </c>
      <c r="N59" s="192" t="str">
        <f>IF(P59&gt;1,
   EDATE(N60,-1),
   IF(P59=1,
      EDATE('SAL. PROM MOD 40'!$C$22,-1),
      ""
   )
)</f>
        <v/>
      </c>
      <c r="O59" s="179">
        <f t="shared" si="10"/>
        <v>0</v>
      </c>
      <c r="P59" s="179">
        <f>IF(('SAL. PROM MOD 40'!$E$8*12+'SAL. PROM MOD 40'!$F$8)&gt;='2'!O59-0.5,O59,0)</f>
        <v>0</v>
      </c>
      <c r="Q59" s="193" t="e">
        <f t="shared" si="8"/>
        <v>#VALUE!</v>
      </c>
      <c r="R59" s="184" t="e">
        <f t="shared" si="11"/>
        <v>#VALUE!</v>
      </c>
      <c r="S59" s="184" t="e">
        <f t="shared" si="13"/>
        <v>#VALUE!</v>
      </c>
      <c r="T59" s="178" t="e">
        <f t="shared" si="9"/>
        <v>#VALUE!</v>
      </c>
    </row>
    <row r="60" spans="6:20">
      <c r="F60" s="192" t="str">
        <f t="shared" si="2"/>
        <v/>
      </c>
      <c r="G60" s="179">
        <f t="shared" si="3"/>
        <v>0</v>
      </c>
      <c r="H60" s="179">
        <f t="shared" si="4"/>
        <v>0</v>
      </c>
      <c r="I60" s="193" t="e">
        <f t="shared" si="5"/>
        <v>#VALUE!</v>
      </c>
      <c r="J60" s="184" t="e">
        <f t="shared" si="6"/>
        <v>#VALUE!</v>
      </c>
      <c r="K60" s="184" t="e">
        <f t="shared" si="12"/>
        <v>#VALUE!</v>
      </c>
      <c r="L60" s="178" t="e">
        <f t="shared" si="7"/>
        <v>#VALUE!</v>
      </c>
      <c r="N60" s="192" t="str">
        <f>IF(P60&gt;1,
   EDATE(N61,-1),
   IF(P60=1,
      EDATE('SAL. PROM MOD 40'!$C$22,-1),
      ""
   )
)</f>
        <v/>
      </c>
      <c r="O60" s="179">
        <f t="shared" si="10"/>
        <v>0</v>
      </c>
      <c r="P60" s="179">
        <f>IF(('SAL. PROM MOD 40'!$E$8*12+'SAL. PROM MOD 40'!$F$8)&gt;='2'!O60-0.5,O60,0)</f>
        <v>0</v>
      </c>
      <c r="Q60" s="193" t="e">
        <f t="shared" si="8"/>
        <v>#VALUE!</v>
      </c>
      <c r="R60" s="184" t="e">
        <f t="shared" si="11"/>
        <v>#VALUE!</v>
      </c>
      <c r="S60" s="184" t="e">
        <f t="shared" si="13"/>
        <v>#VALUE!</v>
      </c>
      <c r="T60" s="178" t="e">
        <f t="shared" si="9"/>
        <v>#VALUE!</v>
      </c>
    </row>
    <row r="61" spans="6:20">
      <c r="F61" s="192" t="str">
        <f t="shared" si="2"/>
        <v/>
      </c>
      <c r="G61" s="179">
        <f t="shared" si="3"/>
        <v>0</v>
      </c>
      <c r="H61" s="179">
        <f t="shared" si="4"/>
        <v>0</v>
      </c>
      <c r="I61" s="193" t="e">
        <f t="shared" si="5"/>
        <v>#VALUE!</v>
      </c>
      <c r="J61" s="184" t="e">
        <f t="shared" si="6"/>
        <v>#VALUE!</v>
      </c>
      <c r="K61" s="184" t="e">
        <f t="shared" si="12"/>
        <v>#VALUE!</v>
      </c>
      <c r="L61" s="178" t="e">
        <f t="shared" si="7"/>
        <v>#VALUE!</v>
      </c>
      <c r="N61" s="192" t="str">
        <f>IF(P61&gt;1,EDATE(N62,-1),IF(P61=1,EDATE('SAL. PROM MOD 40'!$C$22,-1),""))</f>
        <v/>
      </c>
      <c r="O61" s="179">
        <f t="shared" si="10"/>
        <v>0</v>
      </c>
      <c r="P61" s="179">
        <f>IF(('SAL. PROM MOD 40'!$E$8*12+'SAL. PROM MOD 40'!$F$8)&gt;='2'!O61-0.5,O61,0)</f>
        <v>0</v>
      </c>
      <c r="Q61" s="193" t="e">
        <f t="shared" si="8"/>
        <v>#VALUE!</v>
      </c>
      <c r="R61" s="184" t="e">
        <f t="shared" si="11"/>
        <v>#VALUE!</v>
      </c>
      <c r="S61" s="184" t="e">
        <f t="shared" si="13"/>
        <v>#VALUE!</v>
      </c>
      <c r="T61" s="178" t="e">
        <f t="shared" si="9"/>
        <v>#VALUE!</v>
      </c>
    </row>
    <row r="62" spans="6:20">
      <c r="I62" s="193">
        <f ca="1">SUMIF(I2:I61,"&gt;=0")</f>
        <v>216327.04464483084</v>
      </c>
      <c r="J62" s="193"/>
      <c r="K62" s="193"/>
      <c r="L62" s="193">
        <f ca="1">SUMIF(L2:L61,"&gt;=0")</f>
        <v>5062.0528446890412</v>
      </c>
      <c r="Q62" s="193">
        <f ca="1">SUMIF(Q2:Q61,"&gt;=0")</f>
        <v>216327.04464483084</v>
      </c>
      <c r="R62" s="193"/>
      <c r="S62" s="193"/>
      <c r="T62" s="193">
        <f ca="1">SUMIF(T2:T61,"&gt;=0")</f>
        <v>29106.803856961986</v>
      </c>
    </row>
  </sheetData>
  <mergeCells count="2">
    <mergeCell ref="N1:T1"/>
    <mergeCell ref="F1:L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2414-12E2-46CC-8BA5-45244CE0680F}">
  <sheetPr codeName="Sheet12">
    <tabColor rgb="FFFFFF00"/>
  </sheetPr>
  <dimension ref="A1:T50"/>
  <sheetViews>
    <sheetView showGridLines="0" zoomScale="121" zoomScaleNormal="59" zoomScalePageLayoutView="101" workbookViewId="0">
      <pane xSplit="1" ySplit="2" topLeftCell="B28" activePane="bottomRight" state="frozen"/>
      <selection pane="topRight" activeCell="B1" sqref="B1"/>
      <selection pane="bottomLeft" activeCell="A3" sqref="A3"/>
      <selection pane="bottomRight" activeCell="C3" sqref="C3:C43"/>
    </sheetView>
  </sheetViews>
  <sheetFormatPr baseColWidth="10" defaultColWidth="9.109375" defaultRowHeight="12"/>
  <cols>
    <col min="1" max="1" width="2.44140625" style="370" customWidth="1"/>
    <col min="2" max="2" width="26.109375" style="371" customWidth="1"/>
    <col min="3" max="12" width="10.33203125" style="374" customWidth="1"/>
    <col min="13" max="15" width="10.109375" style="372" customWidth="1"/>
    <col min="16" max="20" width="10.109375" style="81" customWidth="1"/>
    <col min="21" max="21" width="10.109375" style="373" customWidth="1"/>
    <col min="22" max="23" width="5.88671875" style="373" customWidth="1"/>
    <col min="24" max="16384" width="9.109375" style="373"/>
  </cols>
  <sheetData>
    <row r="1" spans="1:20" ht="14.25" customHeight="1" thickBot="1"/>
    <row r="2" spans="1:20" s="81" customFormat="1" ht="28.2" customHeight="1" thickBot="1">
      <c r="A2" s="368"/>
      <c r="B2" s="375" t="e" vm="1">
        <v>#VALUE!</v>
      </c>
      <c r="C2" s="376" t="s">
        <v>259</v>
      </c>
      <c r="D2" s="376" t="s">
        <v>260</v>
      </c>
      <c r="E2" s="376" t="s">
        <v>261</v>
      </c>
      <c r="F2" s="376" t="s">
        <v>262</v>
      </c>
      <c r="G2" s="376" t="s">
        <v>263</v>
      </c>
      <c r="H2" s="376" t="s">
        <v>264</v>
      </c>
      <c r="I2" s="376" t="s">
        <v>265</v>
      </c>
      <c r="J2" s="376" t="s">
        <v>300</v>
      </c>
      <c r="K2" s="376" t="s">
        <v>301</v>
      </c>
      <c r="L2" s="377" t="s">
        <v>302</v>
      </c>
    </row>
    <row r="3" spans="1:20" s="380" customFormat="1" ht="17.7" customHeight="1">
      <c r="A3" s="1126" t="s">
        <v>266</v>
      </c>
      <c r="B3" s="378" t="s">
        <v>271</v>
      </c>
      <c r="C3" s="680"/>
      <c r="D3" s="680"/>
      <c r="E3" s="680"/>
      <c r="F3" s="680"/>
      <c r="G3" s="680"/>
      <c r="H3" s="680"/>
      <c r="I3" s="681"/>
      <c r="J3" s="681"/>
      <c r="K3" s="681"/>
      <c r="L3" s="682"/>
      <c r="M3" s="379"/>
      <c r="N3" s="379"/>
      <c r="O3" s="379"/>
      <c r="P3" s="379"/>
      <c r="Q3" s="379"/>
      <c r="R3" s="379"/>
      <c r="S3" s="379"/>
      <c r="T3" s="379"/>
    </row>
    <row r="4" spans="1:20" s="380" customFormat="1" ht="17.7" customHeight="1">
      <c r="A4" s="1127"/>
      <c r="B4" s="428" t="s">
        <v>278</v>
      </c>
      <c r="C4" s="727"/>
      <c r="D4" s="727"/>
      <c r="E4" s="727"/>
      <c r="F4" s="727"/>
      <c r="G4" s="727"/>
      <c r="H4" s="727"/>
      <c r="I4" s="728"/>
      <c r="J4" s="728"/>
      <c r="K4" s="728"/>
      <c r="L4" s="683"/>
      <c r="M4" s="381"/>
      <c r="N4" s="381"/>
      <c r="O4" s="381"/>
      <c r="P4" s="379"/>
      <c r="Q4" s="379"/>
      <c r="R4" s="379"/>
      <c r="S4" s="379"/>
      <c r="T4" s="379"/>
    </row>
    <row r="5" spans="1:20" s="380" customFormat="1" ht="17.7" customHeight="1">
      <c r="A5" s="1127"/>
      <c r="B5" s="382" t="s">
        <v>267</v>
      </c>
      <c r="C5" s="521"/>
      <c r="D5" s="521"/>
      <c r="E5" s="521"/>
      <c r="F5" s="521"/>
      <c r="G5" s="521"/>
      <c r="H5" s="521"/>
      <c r="I5" s="522"/>
      <c r="J5" s="522"/>
      <c r="K5" s="522"/>
      <c r="L5" s="523"/>
      <c r="M5" s="386"/>
      <c r="N5" s="386"/>
      <c r="O5" s="386"/>
      <c r="P5" s="379"/>
      <c r="Q5" s="379"/>
      <c r="R5" s="379"/>
      <c r="S5" s="379"/>
      <c r="T5" s="379"/>
    </row>
    <row r="6" spans="1:20" ht="23.7" customHeight="1" thickBot="1">
      <c r="A6" s="1128"/>
      <c r="B6" s="638" t="s">
        <v>272</v>
      </c>
      <c r="C6" s="639"/>
      <c r="D6" s="639"/>
      <c r="E6" s="639"/>
      <c r="F6" s="639"/>
      <c r="G6" s="639"/>
      <c r="H6" s="639"/>
      <c r="I6" s="640"/>
      <c r="J6" s="640"/>
      <c r="K6" s="640"/>
      <c r="L6" s="641"/>
      <c r="M6" s="387"/>
      <c r="N6" s="387"/>
      <c r="O6" s="387"/>
      <c r="P6" s="14"/>
      <c r="Q6" s="14"/>
      <c r="R6" s="14"/>
      <c r="S6" s="14"/>
      <c r="T6" s="14"/>
    </row>
    <row r="7" spans="1:20" ht="23.7" customHeight="1">
      <c r="A7" s="1129" t="s">
        <v>277</v>
      </c>
      <c r="B7" s="496" t="s">
        <v>281</v>
      </c>
      <c r="C7" s="497"/>
      <c r="D7" s="497"/>
      <c r="E7" s="497"/>
      <c r="F7" s="497"/>
      <c r="G7" s="497"/>
      <c r="H7" s="497"/>
      <c r="I7" s="498"/>
      <c r="J7" s="498"/>
      <c r="K7" s="498"/>
      <c r="L7" s="499"/>
      <c r="M7" s="391"/>
      <c r="N7" s="391"/>
      <c r="O7" s="391"/>
      <c r="P7" s="14"/>
      <c r="Q7" s="14"/>
      <c r="R7" s="14"/>
      <c r="S7" s="14"/>
      <c r="T7" s="14"/>
    </row>
    <row r="8" spans="1:20" ht="23.7" customHeight="1">
      <c r="A8" s="1130"/>
      <c r="B8" s="382" t="s">
        <v>440</v>
      </c>
      <c r="C8" s="661"/>
      <c r="D8" s="661"/>
      <c r="E8" s="661"/>
      <c r="F8" s="661"/>
      <c r="G8" s="661"/>
      <c r="H8" s="662"/>
      <c r="I8" s="661"/>
      <c r="J8" s="662"/>
      <c r="K8" s="662"/>
      <c r="L8" s="663"/>
      <c r="M8" s="391"/>
      <c r="N8" s="391"/>
      <c r="O8" s="391"/>
      <c r="P8" s="14"/>
      <c r="Q8" s="14"/>
      <c r="R8" s="14"/>
      <c r="S8" s="14"/>
      <c r="T8" s="14"/>
    </row>
    <row r="9" spans="1:20" ht="23.7" customHeight="1">
      <c r="A9" s="1130"/>
      <c r="B9" s="500" t="s">
        <v>268</v>
      </c>
      <c r="C9" s="501"/>
      <c r="D9" s="501"/>
      <c r="E9" s="501"/>
      <c r="F9" s="501"/>
      <c r="G9" s="501"/>
      <c r="H9" s="501"/>
      <c r="I9" s="502"/>
      <c r="J9" s="502"/>
      <c r="K9" s="502"/>
      <c r="L9" s="503"/>
      <c r="M9" s="391"/>
      <c r="N9" s="391"/>
      <c r="O9" s="391"/>
      <c r="P9" s="14"/>
      <c r="Q9" s="14"/>
      <c r="R9" s="14"/>
      <c r="S9" s="14"/>
      <c r="T9" s="14"/>
    </row>
    <row r="10" spans="1:20" ht="18.899999999999999" customHeight="1">
      <c r="A10" s="1130"/>
      <c r="B10" s="382" t="s">
        <v>441</v>
      </c>
      <c r="C10" s="684"/>
      <c r="D10" s="684"/>
      <c r="E10" s="684"/>
      <c r="F10" s="684"/>
      <c r="G10" s="684"/>
      <c r="H10" s="684"/>
      <c r="I10" s="685"/>
      <c r="J10" s="685"/>
      <c r="K10" s="685"/>
      <c r="L10" s="686"/>
      <c r="M10" s="391"/>
      <c r="N10" s="391"/>
      <c r="O10" s="391"/>
      <c r="P10" s="14"/>
      <c r="Q10" s="14"/>
      <c r="R10" s="14"/>
      <c r="S10" s="14"/>
      <c r="T10" s="14"/>
    </row>
    <row r="11" spans="1:20" ht="19.5" customHeight="1">
      <c r="A11" s="1130"/>
      <c r="B11" s="428" t="s">
        <v>442</v>
      </c>
      <c r="C11" s="670"/>
      <c r="D11" s="670"/>
      <c r="E11" s="670"/>
      <c r="F11" s="670"/>
      <c r="G11" s="670"/>
      <c r="H11" s="670"/>
      <c r="I11" s="671"/>
      <c r="J11" s="671"/>
      <c r="K11" s="671"/>
      <c r="L11" s="672"/>
      <c r="M11" s="391"/>
      <c r="N11" s="391"/>
      <c r="O11" s="391"/>
      <c r="P11" s="14"/>
      <c r="Q11" s="14"/>
      <c r="R11" s="14"/>
      <c r="S11" s="14"/>
      <c r="T11" s="14"/>
    </row>
    <row r="12" spans="1:20" ht="19.5" customHeight="1">
      <c r="A12" s="1130"/>
      <c r="B12" s="695" t="s">
        <v>273</v>
      </c>
      <c r="C12" s="696"/>
      <c r="D12" s="696"/>
      <c r="E12" s="696"/>
      <c r="F12" s="696"/>
      <c r="G12" s="696"/>
      <c r="H12" s="696"/>
      <c r="I12" s="697"/>
      <c r="J12" s="697"/>
      <c r="K12" s="697"/>
      <c r="L12" s="698"/>
      <c r="M12" s="391"/>
      <c r="N12" s="391"/>
      <c r="O12" s="391"/>
      <c r="P12" s="14"/>
      <c r="Q12" s="14"/>
      <c r="R12" s="14"/>
      <c r="S12" s="14"/>
      <c r="T12" s="14"/>
    </row>
    <row r="13" spans="1:20" ht="19.5" customHeight="1">
      <c r="A13" s="1130"/>
      <c r="B13" s="409" t="s">
        <v>331</v>
      </c>
      <c r="C13" s="699"/>
      <c r="D13" s="699"/>
      <c r="E13" s="699"/>
      <c r="F13" s="699"/>
      <c r="G13" s="699"/>
      <c r="H13" s="699"/>
      <c r="I13" s="699"/>
      <c r="J13" s="699"/>
      <c r="K13" s="699"/>
      <c r="L13" s="700"/>
      <c r="M13" s="391"/>
      <c r="N13" s="391"/>
      <c r="O13" s="391"/>
      <c r="P13" s="14"/>
      <c r="Q13" s="14"/>
      <c r="R13" s="14"/>
      <c r="S13" s="14"/>
      <c r="T13" s="14"/>
    </row>
    <row r="14" spans="1:20" ht="19.5" customHeight="1">
      <c r="A14" s="1130"/>
      <c r="B14" s="382" t="s">
        <v>312</v>
      </c>
      <c r="C14" s="664"/>
      <c r="D14" s="664"/>
      <c r="E14" s="664"/>
      <c r="F14" s="664"/>
      <c r="G14" s="664"/>
      <c r="H14" s="664"/>
      <c r="I14" s="665"/>
      <c r="J14" s="665"/>
      <c r="K14" s="665"/>
      <c r="L14" s="666"/>
      <c r="M14" s="434"/>
      <c r="N14" s="434"/>
      <c r="O14" s="434"/>
      <c r="P14" s="16"/>
      <c r="Q14" s="14"/>
      <c r="R14" s="14"/>
      <c r="S14" s="14"/>
      <c r="T14" s="14"/>
    </row>
    <row r="15" spans="1:20" ht="19.5" customHeight="1">
      <c r="A15" s="1130"/>
      <c r="B15" s="409" t="s">
        <v>438</v>
      </c>
      <c r="C15" s="699"/>
      <c r="D15" s="699"/>
      <c r="E15" s="699"/>
      <c r="F15" s="699"/>
      <c r="G15" s="699"/>
      <c r="H15" s="699"/>
      <c r="I15" s="699"/>
      <c r="J15" s="699"/>
      <c r="K15" s="699"/>
      <c r="L15" s="700"/>
      <c r="M15" s="16"/>
      <c r="N15" s="16"/>
      <c r="O15" s="16"/>
      <c r="P15" s="16"/>
      <c r="Q15" s="14"/>
      <c r="R15" s="14"/>
      <c r="S15" s="14"/>
      <c r="T15" s="14"/>
    </row>
    <row r="16" spans="1:20" ht="19.5" customHeight="1">
      <c r="A16" s="1130"/>
      <c r="B16" s="382" t="s">
        <v>293</v>
      </c>
      <c r="C16" s="435"/>
      <c r="D16" s="435"/>
      <c r="E16" s="435"/>
      <c r="F16" s="435"/>
      <c r="G16" s="435"/>
      <c r="H16" s="435"/>
      <c r="I16" s="436"/>
      <c r="J16" s="436"/>
      <c r="K16" s="436"/>
      <c r="L16" s="437"/>
      <c r="M16" s="16"/>
      <c r="N16" s="16"/>
      <c r="O16" s="16"/>
      <c r="P16" s="16"/>
      <c r="Q16" s="14"/>
      <c r="R16" s="14"/>
      <c r="S16" s="14"/>
      <c r="T16" s="14"/>
    </row>
    <row r="17" spans="1:20" ht="19.5" customHeight="1">
      <c r="A17" s="1130"/>
      <c r="B17" s="409" t="s">
        <v>278</v>
      </c>
      <c r="C17" s="701"/>
      <c r="D17" s="701"/>
      <c r="E17" s="701"/>
      <c r="F17" s="701"/>
      <c r="G17" s="701"/>
      <c r="H17" s="701"/>
      <c r="I17" s="702"/>
      <c r="J17" s="702"/>
      <c r="K17" s="702"/>
      <c r="L17" s="703"/>
      <c r="M17" s="16"/>
      <c r="N17" s="16"/>
      <c r="O17" s="16"/>
      <c r="P17" s="14"/>
      <c r="Q17" s="14"/>
      <c r="R17" s="14"/>
      <c r="S17" s="14"/>
      <c r="T17" s="14"/>
    </row>
    <row r="18" spans="1:20" ht="19.5" customHeight="1">
      <c r="A18" s="1130"/>
      <c r="B18" s="382" t="s">
        <v>279</v>
      </c>
      <c r="C18" s="521"/>
      <c r="D18" s="521"/>
      <c r="E18" s="521"/>
      <c r="F18" s="521"/>
      <c r="G18" s="521"/>
      <c r="H18" s="521"/>
      <c r="I18" s="522"/>
      <c r="J18" s="522"/>
      <c r="K18" s="522"/>
      <c r="L18" s="523"/>
      <c r="M18" s="392"/>
      <c r="N18" s="392"/>
      <c r="O18" s="392"/>
      <c r="P18" s="14"/>
      <c r="Q18" s="14"/>
      <c r="R18" s="14"/>
      <c r="S18" s="14"/>
      <c r="T18" s="14"/>
    </row>
    <row r="19" spans="1:20" ht="19.5" customHeight="1">
      <c r="A19" s="1130"/>
      <c r="B19" s="409" t="s">
        <v>274</v>
      </c>
      <c r="C19" s="410"/>
      <c r="D19" s="410"/>
      <c r="E19" s="410"/>
      <c r="F19" s="410"/>
      <c r="G19" s="410"/>
      <c r="H19" s="410"/>
      <c r="I19" s="411"/>
      <c r="J19" s="411"/>
      <c r="K19" s="411"/>
      <c r="L19" s="412"/>
      <c r="M19" s="391"/>
      <c r="N19" s="391"/>
      <c r="O19" s="391"/>
      <c r="P19" s="14"/>
      <c r="Q19" s="14"/>
      <c r="R19" s="14"/>
      <c r="S19" s="14"/>
      <c r="T19" s="14"/>
    </row>
    <row r="20" spans="1:20" ht="19.5" customHeight="1">
      <c r="A20" s="1130"/>
      <c r="B20" s="382" t="s">
        <v>275</v>
      </c>
      <c r="C20" s="383"/>
      <c r="D20" s="383"/>
      <c r="E20" s="383"/>
      <c r="F20" s="383"/>
      <c r="G20" s="383"/>
      <c r="H20" s="383"/>
      <c r="I20" s="384"/>
      <c r="J20" s="384"/>
      <c r="K20" s="384"/>
      <c r="L20" s="385"/>
      <c r="M20" s="387"/>
      <c r="N20" s="387"/>
      <c r="O20" s="387"/>
      <c r="P20" s="14"/>
      <c r="Q20" s="14"/>
      <c r="R20" s="14"/>
      <c r="S20" s="14"/>
      <c r="T20" s="14"/>
    </row>
    <row r="21" spans="1:20" ht="19.5" customHeight="1">
      <c r="A21" s="1130"/>
      <c r="B21" s="409" t="s">
        <v>294</v>
      </c>
      <c r="C21" s="413"/>
      <c r="D21" s="413"/>
      <c r="E21" s="413"/>
      <c r="F21" s="413"/>
      <c r="G21" s="413"/>
      <c r="H21" s="413"/>
      <c r="I21" s="414"/>
      <c r="J21" s="414"/>
      <c r="K21" s="414"/>
      <c r="L21" s="415"/>
      <c r="M21" s="387"/>
      <c r="N21" s="387"/>
      <c r="O21" s="387"/>
      <c r="P21" s="14"/>
      <c r="Q21" s="14"/>
      <c r="R21" s="14"/>
      <c r="S21" s="14"/>
      <c r="T21" s="14"/>
    </row>
    <row r="22" spans="1:20" ht="19.5" customHeight="1">
      <c r="A22" s="1130"/>
      <c r="B22" s="382" t="s">
        <v>276</v>
      </c>
      <c r="C22" s="395"/>
      <c r="D22" s="395"/>
      <c r="E22" s="395"/>
      <c r="F22" s="395"/>
      <c r="G22" s="395"/>
      <c r="H22" s="395"/>
      <c r="I22" s="396"/>
      <c r="J22" s="396"/>
      <c r="K22" s="396"/>
      <c r="L22" s="397"/>
      <c r="M22" s="16"/>
      <c r="N22" s="16"/>
      <c r="O22" s="16"/>
      <c r="P22" s="14"/>
      <c r="Q22" s="14"/>
      <c r="R22" s="14"/>
      <c r="S22" s="14"/>
      <c r="T22" s="14"/>
    </row>
    <row r="23" spans="1:20" ht="19.5" customHeight="1">
      <c r="A23" s="1130"/>
      <c r="B23" s="409" t="s">
        <v>270</v>
      </c>
      <c r="C23" s="704"/>
      <c r="D23" s="704"/>
      <c r="E23" s="704"/>
      <c r="F23" s="704"/>
      <c r="G23" s="704"/>
      <c r="H23" s="704"/>
      <c r="I23" s="705"/>
      <c r="J23" s="705"/>
      <c r="K23" s="705"/>
      <c r="L23" s="706"/>
      <c r="M23" s="391"/>
      <c r="N23" s="391"/>
      <c r="O23" s="391"/>
      <c r="P23" s="14"/>
      <c r="Q23" s="14"/>
      <c r="R23" s="14"/>
      <c r="S23" s="14"/>
      <c r="T23" s="14"/>
    </row>
    <row r="24" spans="1:20" ht="19.5" customHeight="1" thickBot="1">
      <c r="A24" s="1131"/>
      <c r="B24" s="445" t="s">
        <v>437</v>
      </c>
      <c r="C24" s="687"/>
      <c r="D24" s="687"/>
      <c r="E24" s="687"/>
      <c r="F24" s="687"/>
      <c r="G24" s="687"/>
      <c r="H24" s="687"/>
      <c r="I24" s="687"/>
      <c r="J24" s="687"/>
      <c r="K24" s="687"/>
      <c r="L24" s="688"/>
      <c r="M24" s="729"/>
      <c r="N24" s="393"/>
      <c r="O24" s="393"/>
      <c r="P24" s="14"/>
      <c r="Q24" s="14"/>
      <c r="R24" s="14"/>
      <c r="S24" s="14"/>
      <c r="T24" s="14"/>
    </row>
    <row r="25" spans="1:20" ht="19.5" customHeight="1">
      <c r="A25" s="1132" t="s">
        <v>280</v>
      </c>
      <c r="B25" s="676" t="s">
        <v>283</v>
      </c>
      <c r="C25" s="677"/>
      <c r="D25" s="677"/>
      <c r="E25" s="677"/>
      <c r="F25" s="677"/>
      <c r="G25" s="677"/>
      <c r="H25" s="677"/>
      <c r="I25" s="678"/>
      <c r="J25" s="678"/>
      <c r="K25" s="678"/>
      <c r="L25" s="679"/>
      <c r="M25" s="387"/>
      <c r="N25" s="387"/>
      <c r="O25" s="387"/>
      <c r="P25" s="14"/>
      <c r="Q25" s="14"/>
      <c r="R25" s="14"/>
      <c r="S25" s="14"/>
      <c r="T25" s="14"/>
    </row>
    <row r="26" spans="1:20" ht="19.5" customHeight="1">
      <c r="A26" s="1133"/>
      <c r="B26" s="382" t="s">
        <v>274</v>
      </c>
      <c r="C26" s="383"/>
      <c r="D26" s="383"/>
      <c r="E26" s="383"/>
      <c r="F26" s="383"/>
      <c r="G26" s="383"/>
      <c r="H26" s="383"/>
      <c r="I26" s="384"/>
      <c r="J26" s="384"/>
      <c r="K26" s="384"/>
      <c r="L26" s="385"/>
      <c r="M26" s="387"/>
      <c r="N26" s="387"/>
      <c r="O26" s="387"/>
      <c r="P26" s="14"/>
      <c r="Q26" s="14"/>
      <c r="R26" s="14"/>
      <c r="S26" s="14"/>
      <c r="T26" s="14"/>
    </row>
    <row r="27" spans="1:20" ht="19.5" customHeight="1">
      <c r="A27" s="1133"/>
      <c r="B27" s="428" t="s">
        <v>275</v>
      </c>
      <c r="C27" s="673"/>
      <c r="D27" s="673"/>
      <c r="E27" s="673"/>
      <c r="F27" s="673"/>
      <c r="G27" s="673"/>
      <c r="H27" s="673"/>
      <c r="I27" s="674"/>
      <c r="J27" s="674"/>
      <c r="K27" s="674"/>
      <c r="L27" s="675"/>
      <c r="M27" s="387"/>
      <c r="N27" s="387"/>
      <c r="O27" s="387"/>
      <c r="P27" s="14"/>
      <c r="Q27" s="14"/>
      <c r="R27" s="14"/>
      <c r="S27" s="14"/>
      <c r="T27" s="14"/>
    </row>
    <row r="28" spans="1:20" ht="19.5" customHeight="1">
      <c r="A28" s="1133"/>
      <c r="B28" s="382" t="s">
        <v>294</v>
      </c>
      <c r="C28" s="435"/>
      <c r="D28" s="435"/>
      <c r="E28" s="435"/>
      <c r="F28" s="435"/>
      <c r="G28" s="435"/>
      <c r="H28" s="435"/>
      <c r="I28" s="436"/>
      <c r="J28" s="436"/>
      <c r="K28" s="436"/>
      <c r="L28" s="437"/>
      <c r="M28" s="16"/>
      <c r="N28" s="16"/>
      <c r="O28" s="16"/>
      <c r="P28" s="14"/>
      <c r="Q28" s="14"/>
      <c r="R28" s="14"/>
      <c r="S28" s="14"/>
      <c r="T28" s="14"/>
    </row>
    <row r="29" spans="1:20" ht="19.5" customHeight="1">
      <c r="A29" s="1133"/>
      <c r="B29" s="428" t="s">
        <v>282</v>
      </c>
      <c r="C29" s="673"/>
      <c r="D29" s="673"/>
      <c r="E29" s="673"/>
      <c r="F29" s="673"/>
      <c r="G29" s="673"/>
      <c r="H29" s="673"/>
      <c r="I29" s="674"/>
      <c r="J29" s="674"/>
      <c r="K29" s="674"/>
      <c r="L29" s="675"/>
      <c r="M29" s="387"/>
      <c r="N29" s="387"/>
      <c r="O29" s="387"/>
      <c r="P29" s="14"/>
      <c r="Q29" s="14"/>
      <c r="R29" s="14"/>
      <c r="S29" s="14"/>
      <c r="T29" s="14"/>
    </row>
    <row r="30" spans="1:20" ht="19.5" customHeight="1" thickBot="1">
      <c r="A30" s="1134"/>
      <c r="B30" s="445" t="s">
        <v>270</v>
      </c>
      <c r="C30" s="667"/>
      <c r="D30" s="667"/>
      <c r="E30" s="667"/>
      <c r="F30" s="667"/>
      <c r="G30" s="667"/>
      <c r="H30" s="667"/>
      <c r="I30" s="668"/>
      <c r="J30" s="668"/>
      <c r="K30" s="668"/>
      <c r="L30" s="669"/>
      <c r="M30" s="394"/>
      <c r="N30" s="394"/>
      <c r="O30" s="394"/>
      <c r="P30" s="14"/>
      <c r="Q30" s="14"/>
      <c r="R30" s="14"/>
      <c r="S30" s="14"/>
      <c r="T30" s="14"/>
    </row>
    <row r="31" spans="1:20" ht="19.5" customHeight="1">
      <c r="A31" s="1135" t="s">
        <v>284</v>
      </c>
      <c r="B31" s="378" t="s">
        <v>285</v>
      </c>
      <c r="C31" s="388"/>
      <c r="D31" s="388"/>
      <c r="E31" s="388"/>
      <c r="F31" s="388"/>
      <c r="G31" s="388"/>
      <c r="H31" s="388"/>
      <c r="I31" s="389"/>
      <c r="J31" s="389"/>
      <c r="K31" s="389"/>
      <c r="L31" s="390"/>
      <c r="M31" s="391"/>
      <c r="N31" s="391"/>
      <c r="O31" s="391"/>
      <c r="P31" s="14"/>
      <c r="Q31" s="14"/>
      <c r="R31" s="14"/>
      <c r="S31" s="14"/>
      <c r="T31" s="14"/>
    </row>
    <row r="32" spans="1:20" ht="19.5" customHeight="1">
      <c r="A32" s="1136"/>
      <c r="B32" s="409" t="s">
        <v>299</v>
      </c>
      <c r="C32" s="416"/>
      <c r="D32" s="416"/>
      <c r="E32" s="416"/>
      <c r="F32" s="416"/>
      <c r="G32" s="416"/>
      <c r="H32" s="416"/>
      <c r="I32" s="417"/>
      <c r="J32" s="417"/>
      <c r="K32" s="417"/>
      <c r="L32" s="418"/>
      <c r="M32" s="391"/>
      <c r="N32" s="391"/>
      <c r="O32" s="391"/>
      <c r="P32" s="14"/>
      <c r="Q32" s="14"/>
      <c r="R32" s="14"/>
      <c r="S32" s="14"/>
      <c r="T32" s="14"/>
    </row>
    <row r="33" spans="1:20" ht="19.5" customHeight="1">
      <c r="A33" s="1136"/>
      <c r="B33" s="382" t="s">
        <v>286</v>
      </c>
      <c r="C33" s="383"/>
      <c r="D33" s="383"/>
      <c r="E33" s="383"/>
      <c r="F33" s="383"/>
      <c r="G33" s="383"/>
      <c r="H33" s="383"/>
      <c r="I33" s="384"/>
      <c r="J33" s="384"/>
      <c r="K33" s="384"/>
      <c r="L33" s="385"/>
      <c r="M33" s="387"/>
      <c r="N33" s="387"/>
      <c r="O33" s="387"/>
      <c r="P33" s="14"/>
      <c r="Q33" s="14"/>
      <c r="R33" s="14"/>
      <c r="S33" s="14"/>
      <c r="T33" s="14"/>
    </row>
    <row r="34" spans="1:20" ht="19.5" customHeight="1">
      <c r="A34" s="1136"/>
      <c r="B34" s="409" t="s">
        <v>287</v>
      </c>
      <c r="C34" s="419"/>
      <c r="D34" s="419"/>
      <c r="E34" s="419"/>
      <c r="F34" s="419"/>
      <c r="G34" s="419"/>
      <c r="H34" s="419"/>
      <c r="I34" s="420"/>
      <c r="J34" s="420"/>
      <c r="K34" s="420"/>
      <c r="L34" s="421"/>
      <c r="M34" s="401"/>
      <c r="N34" s="401"/>
      <c r="O34" s="401"/>
      <c r="P34" s="14"/>
      <c r="Q34" s="14"/>
      <c r="R34" s="14"/>
      <c r="S34" s="14"/>
      <c r="T34" s="14"/>
    </row>
    <row r="35" spans="1:20" ht="19.5" customHeight="1">
      <c r="A35" s="1136"/>
      <c r="B35" s="382" t="s">
        <v>439</v>
      </c>
      <c r="C35" s="398"/>
      <c r="D35" s="398"/>
      <c r="E35" s="398"/>
      <c r="F35" s="398"/>
      <c r="G35" s="398"/>
      <c r="H35" s="398"/>
      <c r="I35" s="399"/>
      <c r="J35" s="399"/>
      <c r="K35" s="399"/>
      <c r="L35" s="400"/>
      <c r="M35" s="401"/>
      <c r="N35" s="401"/>
      <c r="O35" s="401"/>
      <c r="P35" s="14"/>
      <c r="Q35" s="14"/>
      <c r="R35" s="14"/>
      <c r="S35" s="14"/>
      <c r="T35" s="14"/>
    </row>
    <row r="36" spans="1:20" ht="19.5" customHeight="1">
      <c r="A36" s="1136"/>
      <c r="B36" s="409" t="s">
        <v>288</v>
      </c>
      <c r="C36" s="410"/>
      <c r="D36" s="410"/>
      <c r="E36" s="410"/>
      <c r="F36" s="410"/>
      <c r="G36" s="410"/>
      <c r="H36" s="410"/>
      <c r="I36" s="411"/>
      <c r="J36" s="411"/>
      <c r="K36" s="411"/>
      <c r="L36" s="412"/>
      <c r="M36" s="387"/>
      <c r="N36" s="387"/>
      <c r="O36" s="387"/>
      <c r="P36" s="14"/>
      <c r="Q36" s="14"/>
      <c r="R36" s="14"/>
      <c r="S36" s="14"/>
      <c r="T36" s="14"/>
    </row>
    <row r="37" spans="1:20" ht="19.5" customHeight="1">
      <c r="A37" s="1136"/>
      <c r="B37" s="382" t="s">
        <v>289</v>
      </c>
      <c r="C37" s="395"/>
      <c r="D37" s="395"/>
      <c r="E37" s="395"/>
      <c r="F37" s="395"/>
      <c r="G37" s="395"/>
      <c r="H37" s="395"/>
      <c r="I37" s="396"/>
      <c r="J37" s="396"/>
      <c r="K37" s="396"/>
      <c r="L37" s="397"/>
      <c r="M37" s="391"/>
      <c r="N37" s="391"/>
      <c r="O37" s="391"/>
      <c r="P37" s="14"/>
      <c r="Q37" s="14"/>
      <c r="R37" s="14"/>
      <c r="S37" s="14"/>
      <c r="T37" s="14"/>
    </row>
    <row r="38" spans="1:20" ht="19.5" customHeight="1">
      <c r="A38" s="1136"/>
      <c r="B38" s="409" t="s">
        <v>290</v>
      </c>
      <c r="C38" s="410"/>
      <c r="D38" s="410"/>
      <c r="E38" s="410"/>
      <c r="F38" s="410"/>
      <c r="G38" s="410"/>
      <c r="H38" s="410"/>
      <c r="I38" s="411"/>
      <c r="J38" s="411"/>
      <c r="K38" s="411"/>
      <c r="L38" s="412"/>
      <c r="M38" s="387"/>
      <c r="N38" s="387"/>
      <c r="O38" s="387"/>
      <c r="P38" s="14"/>
      <c r="Q38" s="14"/>
      <c r="R38" s="14"/>
      <c r="S38" s="14"/>
      <c r="T38" s="14"/>
    </row>
    <row r="39" spans="1:20" ht="19.5" customHeight="1">
      <c r="A39" s="1136"/>
      <c r="B39" s="382" t="s">
        <v>291</v>
      </c>
      <c r="C39" s="383"/>
      <c r="D39" s="383"/>
      <c r="E39" s="383"/>
      <c r="F39" s="383"/>
      <c r="G39" s="383"/>
      <c r="H39" s="383"/>
      <c r="I39" s="384"/>
      <c r="J39" s="384"/>
      <c r="K39" s="384"/>
      <c r="L39" s="385"/>
      <c r="M39" s="387"/>
      <c r="N39" s="387"/>
      <c r="O39" s="387"/>
      <c r="P39" s="14"/>
      <c r="Q39" s="14"/>
      <c r="R39" s="14"/>
      <c r="S39" s="14"/>
      <c r="T39" s="14"/>
    </row>
    <row r="40" spans="1:20" ht="19.5" customHeight="1">
      <c r="A40" s="1136"/>
      <c r="B40" s="409" t="s">
        <v>292</v>
      </c>
      <c r="C40" s="416"/>
      <c r="D40" s="416"/>
      <c r="E40" s="416"/>
      <c r="F40" s="416"/>
      <c r="G40" s="416"/>
      <c r="H40" s="416"/>
      <c r="I40" s="417"/>
      <c r="J40" s="417"/>
      <c r="K40" s="417"/>
      <c r="L40" s="418"/>
      <c r="M40" s="391"/>
      <c r="N40" s="391"/>
      <c r="O40" s="391"/>
      <c r="P40" s="14"/>
      <c r="Q40" s="14"/>
      <c r="R40" s="14"/>
      <c r="S40" s="14"/>
      <c r="T40" s="14"/>
    </row>
    <row r="41" spans="1:20" ht="19.5" customHeight="1">
      <c r="A41" s="1136"/>
      <c r="B41" s="382" t="s">
        <v>295</v>
      </c>
      <c r="C41" s="383"/>
      <c r="D41" s="383"/>
      <c r="E41" s="383"/>
      <c r="F41" s="383"/>
      <c r="G41" s="383"/>
      <c r="H41" s="383"/>
      <c r="I41" s="384"/>
      <c r="J41" s="384"/>
      <c r="K41" s="384"/>
      <c r="L41" s="385"/>
      <c r="M41" s="387"/>
      <c r="N41" s="387"/>
      <c r="O41" s="387"/>
      <c r="P41" s="14"/>
      <c r="Q41" s="14"/>
      <c r="R41" s="14"/>
      <c r="S41" s="14"/>
      <c r="T41" s="14"/>
    </row>
    <row r="42" spans="1:20" ht="19.5" customHeight="1">
      <c r="A42" s="1136"/>
      <c r="B42" s="409" t="s">
        <v>294</v>
      </c>
      <c r="C42" s="413"/>
      <c r="D42" s="413"/>
      <c r="E42" s="413"/>
      <c r="F42" s="413"/>
      <c r="G42" s="413"/>
      <c r="H42" s="413"/>
      <c r="I42" s="414"/>
      <c r="J42" s="414"/>
      <c r="K42" s="414"/>
      <c r="L42" s="415"/>
      <c r="M42" s="387"/>
      <c r="N42" s="387"/>
      <c r="O42" s="387"/>
      <c r="P42" s="14"/>
      <c r="Q42" s="14"/>
      <c r="R42" s="14"/>
      <c r="S42" s="14"/>
      <c r="T42" s="14"/>
    </row>
    <row r="43" spans="1:20" ht="24" customHeight="1" thickBot="1">
      <c r="A43" s="1137"/>
      <c r="B43" s="445" t="s">
        <v>270</v>
      </c>
      <c r="C43" s="750"/>
      <c r="D43" s="750"/>
      <c r="E43" s="750"/>
      <c r="F43" s="750"/>
      <c r="G43" s="750"/>
      <c r="H43" s="750"/>
      <c r="I43" s="751"/>
      <c r="J43" s="751"/>
      <c r="K43" s="751"/>
      <c r="L43" s="752"/>
      <c r="M43" s="393"/>
      <c r="N43" s="393"/>
      <c r="O43" s="393"/>
      <c r="P43" s="14"/>
      <c r="Q43" s="14"/>
      <c r="R43" s="14"/>
      <c r="S43" s="14"/>
      <c r="T43" s="14"/>
    </row>
    <row r="44" spans="1:20" ht="12.45" customHeight="1" thickBot="1">
      <c r="C44" s="402"/>
    </row>
    <row r="45" spans="1:20" ht="26.55" customHeight="1" thickTop="1">
      <c r="B45" s="422" t="s">
        <v>310</v>
      </c>
      <c r="C45" s="423" t="e">
        <f>INDEX($C$2:$L$2, MATCH(MAX(C7:L7), C7:L7, 0))</f>
        <v>#N/A</v>
      </c>
    </row>
    <row r="46" spans="1:20" ht="26.55" customHeight="1">
      <c r="B46" s="424" t="s">
        <v>311</v>
      </c>
      <c r="C46" s="425" t="e">
        <f>INDEX($C$2:$L$2, MATCH(MIN(C12:L12), C12:L12, 0))</f>
        <v>#N/A</v>
      </c>
    </row>
    <row r="47" spans="1:20" ht="33" customHeight="1">
      <c r="B47" s="424" t="s">
        <v>313</v>
      </c>
      <c r="C47" s="425" t="e">
        <f>INDEX($C$2:$L$2, MATCH(MAX(C43:L43), C43:L43, 0))</f>
        <v>#N/A</v>
      </c>
    </row>
    <row r="48" spans="1:20" ht="33" customHeight="1">
      <c r="B48" s="424" t="s">
        <v>314</v>
      </c>
      <c r="C48" s="425" t="e">
        <f>INDEX($C$2:$L$2, MATCH(LARGE($C$43:$L$43, 2), $C$43:$L$43, 0))</f>
        <v>#NUM!</v>
      </c>
    </row>
    <row r="49" spans="2:3" ht="33" customHeight="1" thickBot="1">
      <c r="B49" s="426" t="s">
        <v>315</v>
      </c>
      <c r="C49" s="427" t="e">
        <f>INDEX($C$2:$L$2, MATCH(LARGE($C$43:$L$43, 3), $C$43:$L$43, 0))</f>
        <v>#NUM!</v>
      </c>
    </row>
    <row r="50" spans="2:3" ht="12.6" thickTop="1"/>
  </sheetData>
  <sheetProtection algorithmName="SHA-512" hashValue="ZJQkO3ZnMtBiNEElX+yCJIiCQVNAt+upSmto5JQa6lcmQKUMwwq1M8EAXveshPUNumsFkr+bDI2P40oEFNBjPw==" saltValue="/PVYASjaj68uwuwoXrRliQ==" spinCount="100000" sheet="1" objects="1" scenarios="1"/>
  <mergeCells count="4">
    <mergeCell ref="A3:A6"/>
    <mergeCell ref="A7:A24"/>
    <mergeCell ref="A25:A30"/>
    <mergeCell ref="A31:A43"/>
  </mergeCells>
  <phoneticPr fontId="67" type="noConversion"/>
  <pageMargins left="0.7" right="0.7" top="0.75" bottom="0.75" header="0.3" footer="0.3"/>
  <pageSetup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AA73B-CD33-4E50-8A42-CDE321002A7D}">
  <sheetPr codeName="Sheet14"/>
  <dimension ref="B1:AN418"/>
  <sheetViews>
    <sheetView topLeftCell="Y1" zoomScale="73" workbookViewId="0">
      <selection activeCell="AJ79" sqref="AJ7:AJ79"/>
    </sheetView>
  </sheetViews>
  <sheetFormatPr baseColWidth="10" defaultColWidth="9.109375" defaultRowHeight="13.8"/>
  <cols>
    <col min="1" max="8" width="9.109375" style="210"/>
    <col min="9" max="9" width="18.5546875" style="211" customWidth="1"/>
    <col min="10" max="10" width="15.33203125" style="213" customWidth="1"/>
    <col min="11" max="11" width="14.44140625" style="210" customWidth="1"/>
    <col min="12" max="12" width="5.33203125" style="210" customWidth="1"/>
    <col min="13" max="14" width="19" style="211" customWidth="1"/>
    <col min="15" max="15" width="11.21875" style="213" customWidth="1"/>
    <col min="16" max="16" width="14.44140625" style="210" customWidth="1"/>
    <col min="17" max="17" width="9.109375" style="210"/>
    <col min="18" max="18" width="18.5546875" style="210" customWidth="1"/>
    <col min="19" max="20" width="13.109375" style="241" customWidth="1"/>
    <col min="21" max="21" width="5.33203125" style="210" customWidth="1"/>
    <col min="22" max="23" width="19" style="210" customWidth="1"/>
    <col min="24" max="25" width="13.109375" style="241" customWidth="1"/>
    <col min="26" max="26" width="9.109375" style="210"/>
    <col min="27" max="27" width="9.21875" style="210" bestFit="1" customWidth="1"/>
    <col min="28" max="28" width="11.33203125" style="210" bestFit="1" customWidth="1"/>
    <col min="29" max="29" width="14.77734375" style="241" customWidth="1"/>
    <col min="30" max="30" width="5" style="210" customWidth="1"/>
    <col min="31" max="31" width="11.33203125" style="210" bestFit="1" customWidth="1"/>
    <col min="32" max="32" width="9.21875" style="210" bestFit="1" customWidth="1"/>
    <col min="33" max="33" width="13.33203125" style="210" customWidth="1"/>
    <col min="34" max="34" width="13.21875" style="210" bestFit="1" customWidth="1"/>
    <col min="35" max="35" width="12.5546875" style="210" customWidth="1"/>
    <col min="36" max="36" width="14.77734375" style="241" customWidth="1"/>
    <col min="37" max="40" width="13.109375" style="241" customWidth="1"/>
    <col min="41" max="16384" width="9.109375" style="210"/>
  </cols>
  <sheetData>
    <row r="1" spans="2:40">
      <c r="I1" s="1138" t="s">
        <v>143</v>
      </c>
      <c r="J1" s="1138"/>
      <c r="K1" s="1138"/>
      <c r="M1" s="1138" t="s">
        <v>144</v>
      </c>
      <c r="N1" s="1138"/>
      <c r="O1" s="1138"/>
      <c r="P1" s="1138"/>
      <c r="R1" s="1138" t="s">
        <v>143</v>
      </c>
      <c r="S1" s="1138"/>
      <c r="T1" s="1138"/>
      <c r="V1" s="1138" t="s">
        <v>181</v>
      </c>
      <c r="W1" s="1138"/>
      <c r="X1" s="1138"/>
      <c r="Y1" s="1138"/>
      <c r="AA1" s="1138" t="s">
        <v>143</v>
      </c>
      <c r="AB1" s="1138"/>
      <c r="AC1" s="1138"/>
      <c r="AD1" s="243"/>
      <c r="AG1" s="1138" t="s">
        <v>205</v>
      </c>
      <c r="AH1" s="1138"/>
      <c r="AI1" s="1138"/>
      <c r="AJ1" s="1138"/>
      <c r="AK1" s="1138"/>
      <c r="AL1" s="1138"/>
      <c r="AM1" s="1138"/>
      <c r="AN1" s="1138"/>
    </row>
    <row r="2" spans="2:40" ht="27.6">
      <c r="I2" s="211" t="s">
        <v>145</v>
      </c>
      <c r="J2" s="212" cm="1">
        <f t="array" aca="1" ref="J2:K2" ca="1">+INVERSION!D45:E45</f>
        <v>62856.639291942876</v>
      </c>
      <c r="K2" s="210">
        <f ca="1"/>
        <v>0</v>
      </c>
      <c r="M2" s="211" t="s">
        <v>145</v>
      </c>
      <c r="N2" s="212" cm="1">
        <f t="array" aca="1" ref="N2:O2" ca="1">+INVERSION!F45:G45</f>
        <v>76363.675936010943</v>
      </c>
      <c r="O2" s="213">
        <f ca="1"/>
        <v>0</v>
      </c>
      <c r="R2" s="211" t="s">
        <v>145</v>
      </c>
      <c r="S2" s="240">
        <f ca="1">+J2</f>
        <v>62856.639291942876</v>
      </c>
      <c r="T2" s="241">
        <f ca="1">+K2</f>
        <v>0</v>
      </c>
      <c r="V2" s="211" t="s">
        <v>145</v>
      </c>
      <c r="W2" s="212">
        <f ca="1">+N2</f>
        <v>76363.675936010943</v>
      </c>
      <c r="X2" s="240">
        <f ca="1">+O2</f>
        <v>0</v>
      </c>
      <c r="AA2" s="211" t="s">
        <v>145</v>
      </c>
      <c r="AB2" s="212">
        <f ca="1">+S2</f>
        <v>62856.639291942876</v>
      </c>
      <c r="AC2" s="241">
        <f ca="1">+T2</f>
        <v>0</v>
      </c>
      <c r="AG2" s="211" t="s">
        <v>145</v>
      </c>
      <c r="AH2" s="212">
        <f ca="1">+W2</f>
        <v>76363.675936010943</v>
      </c>
      <c r="AI2" s="212"/>
      <c r="AJ2" s="240">
        <f ca="1">+X2</f>
        <v>0</v>
      </c>
      <c r="AK2" s="240"/>
      <c r="AL2" s="240"/>
      <c r="AM2" s="240"/>
    </row>
    <row r="3" spans="2:40" ht="27.6">
      <c r="I3" s="211" t="s">
        <v>146</v>
      </c>
      <c r="J3" s="214" cm="1">
        <f t="array" ref="J3:K3">+INVERSION!D4:E4</f>
        <v>61</v>
      </c>
      <c r="K3" s="210">
        <v>0</v>
      </c>
      <c r="M3" s="211" t="s">
        <v>146</v>
      </c>
      <c r="N3" s="215" cm="1">
        <f t="array" aca="1" ref="N3:O3" ca="1">+INVERSION!F4:G4</f>
        <v>61</v>
      </c>
      <c r="O3" s="213">
        <f ca="1"/>
        <v>0</v>
      </c>
      <c r="R3" s="211" t="s">
        <v>146</v>
      </c>
      <c r="S3" s="240">
        <f>+J3</f>
        <v>61</v>
      </c>
      <c r="T3" s="241">
        <f>+K3</f>
        <v>0</v>
      </c>
      <c r="V3" s="211" t="s">
        <v>146</v>
      </c>
      <c r="W3" s="215">
        <f ca="1">+N3</f>
        <v>61</v>
      </c>
      <c r="X3" s="240">
        <f ca="1">+O3</f>
        <v>0</v>
      </c>
      <c r="AA3" s="211" t="s">
        <v>146</v>
      </c>
      <c r="AB3" s="214">
        <f>+S3</f>
        <v>61</v>
      </c>
      <c r="AC3" s="241">
        <f>+T3</f>
        <v>0</v>
      </c>
      <c r="AG3" s="211" t="s">
        <v>146</v>
      </c>
      <c r="AH3" s="215">
        <f ca="1">+W3</f>
        <v>61</v>
      </c>
      <c r="AI3" s="215"/>
      <c r="AJ3" s="240">
        <f ca="1">+X3</f>
        <v>0</v>
      </c>
      <c r="AK3" s="240"/>
      <c r="AL3" s="240"/>
      <c r="AM3" s="240"/>
    </row>
    <row r="4" spans="2:40" ht="16.95" customHeight="1">
      <c r="I4" s="211" t="s">
        <v>147</v>
      </c>
      <c r="J4" s="213">
        <f>1/12</f>
        <v>8.3333333333333329E-2</v>
      </c>
      <c r="M4" s="211" t="s">
        <v>148</v>
      </c>
      <c r="N4" s="216">
        <f ca="1">+'COSTO MOD. 40'!G19*-1</f>
        <v>-174293.34893596958</v>
      </c>
      <c r="R4" s="211" t="s">
        <v>147</v>
      </c>
      <c r="S4" s="240">
        <f>+J4</f>
        <v>8.3333333333333329E-2</v>
      </c>
      <c r="V4" s="211" t="s">
        <v>148</v>
      </c>
      <c r="W4" s="216">
        <f ca="1">+'MOD 40 REC. VS RETRO.'!F8*-1</f>
        <v>-201302.24587133416</v>
      </c>
      <c r="X4" s="240"/>
      <c r="AA4" s="211" t="s">
        <v>147</v>
      </c>
      <c r="AB4" s="213">
        <f>+S4</f>
        <v>8.3333333333333329E-2</v>
      </c>
      <c r="AG4" s="211" t="s">
        <v>148</v>
      </c>
      <c r="AH4" s="216">
        <f ca="1">IF(('SEGUNDO FONDEADOR'!C9-'SEGUNDO FONDEADOR'!C14)&gt;0,('SEGUNDO FONDEADOR'!C9-'SEGUNDO FONDEADOR'!C14)*-1,0.001)</f>
        <v>1E-3</v>
      </c>
      <c r="AI4" s="216"/>
      <c r="AJ4" s="240"/>
      <c r="AK4" s="240"/>
      <c r="AL4" s="240"/>
      <c r="AM4" s="240"/>
    </row>
    <row r="5" spans="2:40" ht="20.55" customHeight="1">
      <c r="B5" s="210" t="s">
        <v>149</v>
      </c>
      <c r="G5" s="210">
        <v>380000</v>
      </c>
      <c r="N5" s="211" t="s">
        <v>151</v>
      </c>
      <c r="R5" s="211"/>
      <c r="S5" s="240"/>
      <c r="V5" s="211"/>
      <c r="W5" s="211" t="s">
        <v>151</v>
      </c>
      <c r="X5" s="240"/>
      <c r="AA5" s="211"/>
      <c r="AB5" s="213"/>
      <c r="AG5" s="211"/>
      <c r="AH5" s="211" t="s">
        <v>151</v>
      </c>
      <c r="AI5" s="211"/>
      <c r="AJ5" s="240"/>
      <c r="AK5" s="240"/>
      <c r="AL5" s="240"/>
      <c r="AM5" s="240"/>
    </row>
    <row r="6" spans="2:40" ht="27.6">
      <c r="B6" s="210" t="s">
        <v>76</v>
      </c>
      <c r="I6" s="211" t="s">
        <v>146</v>
      </c>
      <c r="J6" s="213" t="s">
        <v>145</v>
      </c>
      <c r="K6" s="211" t="s">
        <v>150</v>
      </c>
      <c r="M6" s="211" t="s">
        <v>146</v>
      </c>
      <c r="N6" s="217">
        <f t="shared" ref="N6:N37" ca="1" si="0">+IF(AND($N$3&gt;=M7-0.02,$N$3&lt;=M7+0.02),$N$4,0)</f>
        <v>0</v>
      </c>
      <c r="O6" s="213" t="s">
        <v>145</v>
      </c>
      <c r="P6" s="211" t="s">
        <v>150</v>
      </c>
      <c r="R6" s="211" t="s">
        <v>146</v>
      </c>
      <c r="S6" s="242" t="s">
        <v>145</v>
      </c>
      <c r="T6" s="242" t="s">
        <v>150</v>
      </c>
      <c r="V6" s="211" t="s">
        <v>146</v>
      </c>
      <c r="W6" s="217">
        <f ca="1">+IF(AND($N$3&gt;=V7-0.02,$N$3&lt;=V7+0.02),$N$4,0)</f>
        <v>0</v>
      </c>
      <c r="X6" s="242" t="s">
        <v>145</v>
      </c>
      <c r="Y6" s="242" t="s">
        <v>150</v>
      </c>
      <c r="AA6" s="211" t="s">
        <v>146</v>
      </c>
      <c r="AB6" s="213" t="s">
        <v>145</v>
      </c>
      <c r="AC6" s="242" t="s">
        <v>150</v>
      </c>
      <c r="AD6" s="211"/>
      <c r="AG6" s="211" t="s">
        <v>146</v>
      </c>
      <c r="AH6" s="217">
        <f ca="1">+IF(AND($N$3&gt;=AG7-0.02,$N$3&lt;=AG7+0.02),$N$4,0)</f>
        <v>0</v>
      </c>
      <c r="AI6" s="217"/>
      <c r="AJ6" s="242" t="s">
        <v>145</v>
      </c>
      <c r="AK6" s="242" t="s">
        <v>145</v>
      </c>
      <c r="AL6" s="242" t="s">
        <v>145</v>
      </c>
      <c r="AM6" s="242" t="s">
        <v>206</v>
      </c>
      <c r="AN6" s="242" t="s">
        <v>150</v>
      </c>
    </row>
    <row r="7" spans="2:40">
      <c r="D7" s="210" t="s">
        <v>79</v>
      </c>
      <c r="F7" s="210" t="s">
        <v>80</v>
      </c>
      <c r="I7" s="217">
        <v>60</v>
      </c>
      <c r="J7" s="216">
        <f>+IF(I7&gt;=$J$3,$J$2,0)</f>
        <v>0</v>
      </c>
      <c r="K7" s="216">
        <f>+J7</f>
        <v>0</v>
      </c>
      <c r="M7" s="217">
        <v>60</v>
      </c>
      <c r="N7" s="217">
        <f t="shared" ca="1" si="0"/>
        <v>0</v>
      </c>
      <c r="O7" s="216">
        <f ca="1">+IF(M7&gt;=$N$3,$N$2,0)</f>
        <v>0</v>
      </c>
      <c r="P7" s="216">
        <f ca="1">+O7+N7</f>
        <v>0</v>
      </c>
      <c r="R7" s="217">
        <v>60</v>
      </c>
      <c r="S7" s="240">
        <f>+IF(R7&gt;=$J$3,$J$2,0)</f>
        <v>0</v>
      </c>
      <c r="T7" s="240">
        <f>+S7</f>
        <v>0</v>
      </c>
      <c r="V7" s="217">
        <v>60</v>
      </c>
      <c r="W7" s="217">
        <f ca="1">+IF(AND($W$3&gt;=V8-0.02,$N$3&lt;=V8+0.02),$W$4,0)</f>
        <v>0</v>
      </c>
      <c r="X7" s="240">
        <f ca="1">+IF(V7&gt;=$N$3,$N$2,0)</f>
        <v>0</v>
      </c>
      <c r="Y7" s="240">
        <f ca="1">+X7+W7</f>
        <v>0</v>
      </c>
      <c r="AA7" s="217">
        <v>60</v>
      </c>
      <c r="AB7" s="216">
        <f>+IF(AA7&gt;=$J$3,$J$2,0)</f>
        <v>0</v>
      </c>
      <c r="AC7" s="240">
        <f>+AB7</f>
        <v>0</v>
      </c>
      <c r="AD7" s="216"/>
      <c r="AE7" s="246">
        <f ca="1">+FINANCIAMIENTO!F5</f>
        <v>63801.225248500457</v>
      </c>
      <c r="AF7" s="210">
        <f>ROW()</f>
        <v>7</v>
      </c>
      <c r="AG7" s="217">
        <v>60</v>
      </c>
      <c r="AH7" s="217">
        <f t="shared" ref="AH7:AH38" ca="1" si="1">+IF(AND($AH$3&gt;=AG8-0.02,$N$3&lt;=AG8+0.02),$AH$4,0)</f>
        <v>0</v>
      </c>
      <c r="AI7" s="217">
        <f ca="1">IF(AH6&lt;&gt;0,FINANCIAMIENTO!$F$5,0)</f>
        <v>0</v>
      </c>
      <c r="AJ7" s="240" t="b">
        <f t="shared" ref="AJ7:AJ70" ca="1" si="2">AND(
   ROW(AF7)-ROW(AF$7)+1 &gt;= MATCH($AE$7,$AI$7:$AI$187,0),
   ROW(AF7)-ROW(AF$7)+1 &lt;= MATCH($AE$7,$AI$7:$AI$187,0)+54
)</f>
        <v>0</v>
      </c>
      <c r="AK7" s="240">
        <f ca="1">IF(AJ7=TRUE,$AE$7,0)</f>
        <v>0</v>
      </c>
      <c r="AL7" s="240">
        <f ca="1">+IF(AG7&gt;=$N$3,$N$2,0)</f>
        <v>0</v>
      </c>
      <c r="AM7" s="240">
        <f ca="1">IF(AND(AK7=$AE$7,AL7=$AH$2),$AE$7,IF(AL7=$AH$2,$AH$2,IF(AK7=$AE$7,$AE$7,0)))</f>
        <v>0</v>
      </c>
      <c r="AN7" s="240">
        <f ca="1">+AM7+AH7</f>
        <v>0</v>
      </c>
    </row>
    <row r="8" spans="2:40">
      <c r="B8" s="210" t="s">
        <v>77</v>
      </c>
      <c r="D8" s="210">
        <v>60</v>
      </c>
      <c r="F8" s="210">
        <v>62</v>
      </c>
      <c r="I8" s="217">
        <f>+I7+$J$4</f>
        <v>60.083333333333336</v>
      </c>
      <c r="J8" s="216">
        <f t="shared" ref="J8:J71" si="3">+IF(I8&gt;=$J$3,$J$2,0)</f>
        <v>0</v>
      </c>
      <c r="K8" s="216">
        <f>+J8+K7</f>
        <v>0</v>
      </c>
      <c r="M8" s="217">
        <f>+M7+$J$4</f>
        <v>60.083333333333336</v>
      </c>
      <c r="N8" s="217">
        <f t="shared" ca="1" si="0"/>
        <v>0</v>
      </c>
      <c r="O8" s="216">
        <f ca="1">+IF(M8&gt;=$N$3,$N$2,0)</f>
        <v>0</v>
      </c>
      <c r="P8" s="216">
        <f ca="1">+N8+O8+P7</f>
        <v>0</v>
      </c>
      <c r="R8" s="217">
        <f>+R7+$J$4</f>
        <v>60.083333333333336</v>
      </c>
      <c r="S8" s="240">
        <f t="shared" ref="S8:S71" si="4">+IF(R8&gt;=$J$3,$J$2,0)</f>
        <v>0</v>
      </c>
      <c r="T8" s="240">
        <f>+S8+T7</f>
        <v>0</v>
      </c>
      <c r="V8" s="217">
        <f>+V7+$J$4</f>
        <v>60.083333333333336</v>
      </c>
      <c r="W8" s="217">
        <f ca="1">+IF(AND($W$3&gt;=V9-0.02,$N$3&lt;=V9+0.02),$W$4,0)</f>
        <v>0</v>
      </c>
      <c r="X8" s="240">
        <f ca="1">+IF(V8&gt;=$N$3,$N$2,0)</f>
        <v>0</v>
      </c>
      <c r="Y8" s="240">
        <f ca="1">+W8+X8+Y7</f>
        <v>0</v>
      </c>
      <c r="AA8" s="217">
        <f>+AA7+$J$4</f>
        <v>60.083333333333336</v>
      </c>
      <c r="AB8" s="216">
        <f t="shared" ref="AB8:AB71" si="5">+IF(AA8&gt;=$J$3,$J$2,0)</f>
        <v>0</v>
      </c>
      <c r="AC8" s="240">
        <f>+AB8+AC7</f>
        <v>0</v>
      </c>
      <c r="AD8" s="216"/>
      <c r="AF8" s="210">
        <f>ROW()</f>
        <v>8</v>
      </c>
      <c r="AG8" s="217">
        <f>+AG7+$J$4</f>
        <v>60.083333333333336</v>
      </c>
      <c r="AH8" s="217">
        <f t="shared" ca="1" si="1"/>
        <v>0</v>
      </c>
      <c r="AI8" s="217">
        <f ca="1">IF(AH7&lt;&gt;0,FINANCIAMIENTO!$F$5,0)</f>
        <v>0</v>
      </c>
      <c r="AJ8" s="240" t="b">
        <f t="shared" ca="1" si="2"/>
        <v>0</v>
      </c>
      <c r="AK8" s="240">
        <f t="shared" ref="AK8:AK71" ca="1" si="6">IF(AJ8=TRUE,$AE$7,0)</f>
        <v>0</v>
      </c>
      <c r="AL8" s="240">
        <f t="shared" ref="AL8:AL71" ca="1" si="7">+IF(AG8&gt;=$N$3,$N$2,0)</f>
        <v>0</v>
      </c>
      <c r="AM8" s="240">
        <f t="shared" ref="AM8:AM71" ca="1" si="8">IF(AND(AK8=$AE$7,AL8=$AH$2),$AE$7,IF(AL8=$AH$2,$AH$2,IF(AK8=$AE$7,$AE$7,0)))</f>
        <v>0</v>
      </c>
      <c r="AN8" s="240">
        <f ca="1">+AM8+AH8+AN7</f>
        <v>0</v>
      </c>
    </row>
    <row r="9" spans="2:40">
      <c r="B9" s="210" t="s">
        <v>78</v>
      </c>
      <c r="D9" s="210">
        <v>8404.4991250000003</v>
      </c>
      <c r="F9" s="210">
        <v>25000</v>
      </c>
      <c r="I9" s="217">
        <f t="shared" ref="I9:I72" si="9">+I8+$J$4</f>
        <v>60.166666666666671</v>
      </c>
      <c r="J9" s="216">
        <f t="shared" si="3"/>
        <v>0</v>
      </c>
      <c r="K9" s="216">
        <f t="shared" ref="K9:K72" si="10">+J9+K8</f>
        <v>0</v>
      </c>
      <c r="M9" s="217">
        <f t="shared" ref="M9:M72" si="11">+M8+$J$4</f>
        <v>60.166666666666671</v>
      </c>
      <c r="N9" s="217">
        <f t="shared" ca="1" si="0"/>
        <v>0</v>
      </c>
      <c r="O9" s="216">
        <f t="shared" ref="O9:O72" ca="1" si="12">+IF(M9&gt;=$N$3,$N$2,0)</f>
        <v>0</v>
      </c>
      <c r="P9" s="216">
        <f t="shared" ref="P9:P72" ca="1" si="13">+N9+O9+P8</f>
        <v>0</v>
      </c>
      <c r="R9" s="217">
        <f t="shared" ref="R9:R72" si="14">+R8+$J$4</f>
        <v>60.166666666666671</v>
      </c>
      <c r="S9" s="240">
        <f t="shared" si="4"/>
        <v>0</v>
      </c>
      <c r="T9" s="240">
        <f t="shared" ref="T9:T72" si="15">+S9+T8</f>
        <v>0</v>
      </c>
      <c r="V9" s="217">
        <f t="shared" ref="V9:V72" si="16">+V8+$J$4</f>
        <v>60.166666666666671</v>
      </c>
      <c r="W9" s="217">
        <f t="shared" ref="W9:W72" ca="1" si="17">+IF(AND($W$3&gt;=V10-0.02,$N$3&lt;=V10+0.02),$W$4,0)</f>
        <v>0</v>
      </c>
      <c r="X9" s="240">
        <f t="shared" ref="X9:X72" ca="1" si="18">+IF(V9&gt;=$N$3,$N$2,0)</f>
        <v>0</v>
      </c>
      <c r="Y9" s="240">
        <f t="shared" ref="Y9:Y72" ca="1" si="19">+W9+X9+Y8</f>
        <v>0</v>
      </c>
      <c r="AA9" s="217">
        <f t="shared" ref="AA9:AA72" si="20">+AA8+$J$4</f>
        <v>60.166666666666671</v>
      </c>
      <c r="AB9" s="216">
        <f t="shared" si="5"/>
        <v>0</v>
      </c>
      <c r="AC9" s="240">
        <f t="shared" ref="AC9:AC72" si="21">+AB9+AC8</f>
        <v>0</v>
      </c>
      <c r="AD9" s="216"/>
      <c r="AF9" s="210">
        <f>ROW()</f>
        <v>9</v>
      </c>
      <c r="AG9" s="217">
        <f t="shared" ref="AG9:AG72" si="22">+AG8+$J$4</f>
        <v>60.166666666666671</v>
      </c>
      <c r="AH9" s="217">
        <f t="shared" ca="1" si="1"/>
        <v>0</v>
      </c>
      <c r="AI9" s="217">
        <f ca="1">IF(AH8&lt;&gt;0,FINANCIAMIENTO!$F$5,0)</f>
        <v>0</v>
      </c>
      <c r="AJ9" s="240" t="b">
        <f t="shared" ca="1" si="2"/>
        <v>0</v>
      </c>
      <c r="AK9" s="240">
        <f t="shared" ca="1" si="6"/>
        <v>0</v>
      </c>
      <c r="AL9" s="240">
        <f t="shared" ca="1" si="7"/>
        <v>0</v>
      </c>
      <c r="AM9" s="240">
        <f t="shared" ca="1" si="8"/>
        <v>0</v>
      </c>
      <c r="AN9" s="240">
        <f t="shared" ref="AN9:AN72" ca="1" si="23">+AM9+AH9+AN8</f>
        <v>0</v>
      </c>
    </row>
    <row r="10" spans="2:40">
      <c r="I10" s="217">
        <f t="shared" si="9"/>
        <v>60.250000000000007</v>
      </c>
      <c r="J10" s="216">
        <f t="shared" si="3"/>
        <v>0</v>
      </c>
      <c r="K10" s="216">
        <f t="shared" si="10"/>
        <v>0</v>
      </c>
      <c r="M10" s="217">
        <f t="shared" si="11"/>
        <v>60.250000000000007</v>
      </c>
      <c r="N10" s="217">
        <f t="shared" ca="1" si="0"/>
        <v>0</v>
      </c>
      <c r="O10" s="216">
        <f t="shared" ca="1" si="12"/>
        <v>0</v>
      </c>
      <c r="P10" s="216">
        <f t="shared" ca="1" si="13"/>
        <v>0</v>
      </c>
      <c r="R10" s="217">
        <f t="shared" si="14"/>
        <v>60.250000000000007</v>
      </c>
      <c r="S10" s="240">
        <f t="shared" si="4"/>
        <v>0</v>
      </c>
      <c r="T10" s="240">
        <f t="shared" si="15"/>
        <v>0</v>
      </c>
      <c r="V10" s="217">
        <f t="shared" si="16"/>
        <v>60.250000000000007</v>
      </c>
      <c r="W10" s="217">
        <f t="shared" ca="1" si="17"/>
        <v>0</v>
      </c>
      <c r="X10" s="240">
        <f t="shared" ca="1" si="18"/>
        <v>0</v>
      </c>
      <c r="Y10" s="240">
        <f t="shared" ca="1" si="19"/>
        <v>0</v>
      </c>
      <c r="AA10" s="217">
        <f t="shared" si="20"/>
        <v>60.250000000000007</v>
      </c>
      <c r="AB10" s="216">
        <f t="shared" si="5"/>
        <v>0</v>
      </c>
      <c r="AC10" s="240">
        <f t="shared" si="21"/>
        <v>0</v>
      </c>
      <c r="AD10" s="216"/>
      <c r="AF10" s="210">
        <f>ROW()</f>
        <v>10</v>
      </c>
      <c r="AG10" s="217">
        <f t="shared" si="22"/>
        <v>60.250000000000007</v>
      </c>
      <c r="AH10" s="217">
        <f t="shared" ca="1" si="1"/>
        <v>0</v>
      </c>
      <c r="AI10" s="217">
        <f ca="1">IF(AH9&lt;&gt;0,FINANCIAMIENTO!$F$5,0)</f>
        <v>0</v>
      </c>
      <c r="AJ10" s="240" t="b">
        <f t="shared" ca="1" si="2"/>
        <v>0</v>
      </c>
      <c r="AK10" s="240">
        <f t="shared" ca="1" si="6"/>
        <v>0</v>
      </c>
      <c r="AL10" s="240">
        <f t="shared" ca="1" si="7"/>
        <v>0</v>
      </c>
      <c r="AM10" s="240">
        <f t="shared" ca="1" si="8"/>
        <v>0</v>
      </c>
      <c r="AN10" s="240">
        <f t="shared" ca="1" si="23"/>
        <v>0</v>
      </c>
    </row>
    <row r="11" spans="2:40">
      <c r="B11" s="210" t="s">
        <v>137</v>
      </c>
      <c r="I11" s="217">
        <f t="shared" si="9"/>
        <v>60.333333333333343</v>
      </c>
      <c r="J11" s="216">
        <f t="shared" si="3"/>
        <v>0</v>
      </c>
      <c r="K11" s="216">
        <f t="shared" si="10"/>
        <v>0</v>
      </c>
      <c r="M11" s="217">
        <f t="shared" si="11"/>
        <v>60.333333333333343</v>
      </c>
      <c r="N11" s="217">
        <f t="shared" ca="1" si="0"/>
        <v>0</v>
      </c>
      <c r="O11" s="216">
        <f t="shared" ca="1" si="12"/>
        <v>0</v>
      </c>
      <c r="P11" s="216">
        <f t="shared" ca="1" si="13"/>
        <v>0</v>
      </c>
      <c r="R11" s="217">
        <f t="shared" si="14"/>
        <v>60.333333333333343</v>
      </c>
      <c r="S11" s="240">
        <f t="shared" si="4"/>
        <v>0</v>
      </c>
      <c r="T11" s="240">
        <f t="shared" si="15"/>
        <v>0</v>
      </c>
      <c r="V11" s="217">
        <f t="shared" si="16"/>
        <v>60.333333333333343</v>
      </c>
      <c r="W11" s="217">
        <f t="shared" ca="1" si="17"/>
        <v>0</v>
      </c>
      <c r="X11" s="240">
        <f t="shared" ca="1" si="18"/>
        <v>0</v>
      </c>
      <c r="Y11" s="240">
        <f t="shared" ca="1" si="19"/>
        <v>0</v>
      </c>
      <c r="AA11" s="217">
        <f t="shared" si="20"/>
        <v>60.333333333333343</v>
      </c>
      <c r="AB11" s="216">
        <f t="shared" si="5"/>
        <v>0</v>
      </c>
      <c r="AC11" s="240">
        <f t="shared" si="21"/>
        <v>0</v>
      </c>
      <c r="AD11" s="216"/>
      <c r="AF11" s="210">
        <f>ROW()</f>
        <v>11</v>
      </c>
      <c r="AG11" s="217">
        <f t="shared" si="22"/>
        <v>60.333333333333343</v>
      </c>
      <c r="AH11" s="217">
        <f t="shared" ca="1" si="1"/>
        <v>0</v>
      </c>
      <c r="AI11" s="217">
        <f ca="1">IF(AH10&lt;&gt;0,FINANCIAMIENTO!$F$5,0)</f>
        <v>0</v>
      </c>
      <c r="AJ11" s="240" t="b">
        <f t="shared" ca="1" si="2"/>
        <v>0</v>
      </c>
      <c r="AK11" s="240">
        <f t="shared" ca="1" si="6"/>
        <v>0</v>
      </c>
      <c r="AL11" s="240">
        <f t="shared" ca="1" si="7"/>
        <v>0</v>
      </c>
      <c r="AM11" s="240">
        <f t="shared" ca="1" si="8"/>
        <v>0</v>
      </c>
      <c r="AN11" s="240">
        <f t="shared" ca="1" si="23"/>
        <v>0</v>
      </c>
    </row>
    <row r="12" spans="2:40">
      <c r="B12" s="210" t="s">
        <v>81</v>
      </c>
      <c r="D12" s="210" t="s">
        <v>142</v>
      </c>
      <c r="F12" s="210">
        <v>18819.087438368355</v>
      </c>
      <c r="I12" s="217">
        <f t="shared" si="9"/>
        <v>60.416666666666679</v>
      </c>
      <c r="J12" s="216">
        <f t="shared" si="3"/>
        <v>0</v>
      </c>
      <c r="K12" s="216">
        <f t="shared" si="10"/>
        <v>0</v>
      </c>
      <c r="M12" s="217">
        <f t="shared" si="11"/>
        <v>60.416666666666679</v>
      </c>
      <c r="N12" s="217">
        <f t="shared" ca="1" si="0"/>
        <v>0</v>
      </c>
      <c r="O12" s="216">
        <f t="shared" ca="1" si="12"/>
        <v>0</v>
      </c>
      <c r="P12" s="216">
        <f t="shared" ca="1" si="13"/>
        <v>0</v>
      </c>
      <c r="R12" s="217">
        <f t="shared" si="14"/>
        <v>60.416666666666679</v>
      </c>
      <c r="S12" s="240">
        <f t="shared" si="4"/>
        <v>0</v>
      </c>
      <c r="T12" s="240">
        <f t="shared" si="15"/>
        <v>0</v>
      </c>
      <c r="V12" s="217">
        <f t="shared" si="16"/>
        <v>60.416666666666679</v>
      </c>
      <c r="W12" s="217">
        <f t="shared" ca="1" si="17"/>
        <v>0</v>
      </c>
      <c r="X12" s="240">
        <f t="shared" ca="1" si="18"/>
        <v>0</v>
      </c>
      <c r="Y12" s="240">
        <f t="shared" ca="1" si="19"/>
        <v>0</v>
      </c>
      <c r="AA12" s="217">
        <f t="shared" si="20"/>
        <v>60.416666666666679</v>
      </c>
      <c r="AB12" s="216">
        <f t="shared" si="5"/>
        <v>0</v>
      </c>
      <c r="AC12" s="240">
        <f t="shared" si="21"/>
        <v>0</v>
      </c>
      <c r="AD12" s="216"/>
      <c r="AF12" s="210">
        <f>ROW()</f>
        <v>12</v>
      </c>
      <c r="AG12" s="217">
        <f t="shared" si="22"/>
        <v>60.416666666666679</v>
      </c>
      <c r="AH12" s="217">
        <f t="shared" ca="1" si="1"/>
        <v>0</v>
      </c>
      <c r="AI12" s="217">
        <f ca="1">IF(AH11&lt;&gt;0,FINANCIAMIENTO!$F$5,0)</f>
        <v>0</v>
      </c>
      <c r="AJ12" s="240" t="b">
        <f t="shared" ca="1" si="2"/>
        <v>0</v>
      </c>
      <c r="AK12" s="240">
        <f t="shared" ca="1" si="6"/>
        <v>0</v>
      </c>
      <c r="AL12" s="240">
        <f t="shared" ca="1" si="7"/>
        <v>0</v>
      </c>
      <c r="AM12" s="240">
        <f t="shared" ca="1" si="8"/>
        <v>0</v>
      </c>
      <c r="AN12" s="240">
        <f t="shared" ca="1" si="23"/>
        <v>0</v>
      </c>
    </row>
    <row r="13" spans="2:40">
      <c r="B13" s="210" t="s">
        <v>82</v>
      </c>
      <c r="D13" s="210" t="s">
        <v>142</v>
      </c>
      <c r="F13" s="210">
        <v>5.8498756252415269</v>
      </c>
      <c r="I13" s="217">
        <f t="shared" si="9"/>
        <v>60.500000000000014</v>
      </c>
      <c r="J13" s="216">
        <f t="shared" si="3"/>
        <v>0</v>
      </c>
      <c r="K13" s="216">
        <f t="shared" si="10"/>
        <v>0</v>
      </c>
      <c r="M13" s="217">
        <f t="shared" si="11"/>
        <v>60.500000000000014</v>
      </c>
      <c r="N13" s="217">
        <f t="shared" ca="1" si="0"/>
        <v>0</v>
      </c>
      <c r="O13" s="216">
        <f t="shared" ca="1" si="12"/>
        <v>0</v>
      </c>
      <c r="P13" s="216">
        <f t="shared" ca="1" si="13"/>
        <v>0</v>
      </c>
      <c r="R13" s="217">
        <f t="shared" si="14"/>
        <v>60.500000000000014</v>
      </c>
      <c r="S13" s="240">
        <f t="shared" si="4"/>
        <v>0</v>
      </c>
      <c r="T13" s="240">
        <f t="shared" si="15"/>
        <v>0</v>
      </c>
      <c r="V13" s="217">
        <f t="shared" si="16"/>
        <v>60.500000000000014</v>
      </c>
      <c r="W13" s="217">
        <f t="shared" ca="1" si="17"/>
        <v>0</v>
      </c>
      <c r="X13" s="240">
        <f t="shared" ca="1" si="18"/>
        <v>0</v>
      </c>
      <c r="Y13" s="240">
        <f t="shared" ca="1" si="19"/>
        <v>0</v>
      </c>
      <c r="AA13" s="217">
        <f t="shared" si="20"/>
        <v>60.500000000000014</v>
      </c>
      <c r="AB13" s="216">
        <f t="shared" si="5"/>
        <v>0</v>
      </c>
      <c r="AC13" s="240">
        <f t="shared" si="21"/>
        <v>0</v>
      </c>
      <c r="AD13" s="216"/>
      <c r="AF13" s="210">
        <f>ROW()</f>
        <v>13</v>
      </c>
      <c r="AG13" s="217">
        <f t="shared" si="22"/>
        <v>60.500000000000014</v>
      </c>
      <c r="AH13" s="217">
        <f t="shared" ca="1" si="1"/>
        <v>0</v>
      </c>
      <c r="AI13" s="217">
        <f ca="1">IF(AH12&lt;&gt;0,FINANCIAMIENTO!$F$5,0)</f>
        <v>0</v>
      </c>
      <c r="AJ13" s="240" t="b">
        <f t="shared" ca="1" si="2"/>
        <v>0</v>
      </c>
      <c r="AK13" s="240">
        <f t="shared" ca="1" si="6"/>
        <v>0</v>
      </c>
      <c r="AL13" s="240">
        <f t="shared" ca="1" si="7"/>
        <v>0</v>
      </c>
      <c r="AM13" s="240">
        <f t="shared" ca="1" si="8"/>
        <v>0</v>
      </c>
      <c r="AN13" s="240">
        <f t="shared" ca="1" si="23"/>
        <v>0</v>
      </c>
    </row>
    <row r="14" spans="2:40">
      <c r="I14" s="217">
        <f t="shared" si="9"/>
        <v>60.58333333333335</v>
      </c>
      <c r="J14" s="216">
        <f t="shared" si="3"/>
        <v>0</v>
      </c>
      <c r="K14" s="216">
        <f t="shared" si="10"/>
        <v>0</v>
      </c>
      <c r="M14" s="217">
        <f t="shared" si="11"/>
        <v>60.58333333333335</v>
      </c>
      <c r="N14" s="217">
        <f t="shared" ca="1" si="0"/>
        <v>0</v>
      </c>
      <c r="O14" s="216">
        <f t="shared" ca="1" si="12"/>
        <v>0</v>
      </c>
      <c r="P14" s="216">
        <f t="shared" ca="1" si="13"/>
        <v>0</v>
      </c>
      <c r="R14" s="217">
        <f t="shared" si="14"/>
        <v>60.58333333333335</v>
      </c>
      <c r="S14" s="240">
        <f t="shared" si="4"/>
        <v>0</v>
      </c>
      <c r="T14" s="240">
        <f t="shared" si="15"/>
        <v>0</v>
      </c>
      <c r="V14" s="217">
        <f t="shared" si="16"/>
        <v>60.58333333333335</v>
      </c>
      <c r="W14" s="217">
        <f t="shared" ca="1" si="17"/>
        <v>0</v>
      </c>
      <c r="X14" s="240">
        <f t="shared" ca="1" si="18"/>
        <v>0</v>
      </c>
      <c r="Y14" s="240">
        <f t="shared" ca="1" si="19"/>
        <v>0</v>
      </c>
      <c r="AA14" s="217">
        <f t="shared" si="20"/>
        <v>60.58333333333335</v>
      </c>
      <c r="AB14" s="216">
        <f t="shared" si="5"/>
        <v>0</v>
      </c>
      <c r="AC14" s="240">
        <f t="shared" si="21"/>
        <v>0</v>
      </c>
      <c r="AD14" s="216"/>
      <c r="AF14" s="210">
        <f>ROW()</f>
        <v>14</v>
      </c>
      <c r="AG14" s="217">
        <f t="shared" si="22"/>
        <v>60.58333333333335</v>
      </c>
      <c r="AH14" s="217">
        <f t="shared" ca="1" si="1"/>
        <v>0</v>
      </c>
      <c r="AI14" s="217">
        <f ca="1">IF(AH13&lt;&gt;0,FINANCIAMIENTO!$F$5,0)</f>
        <v>0</v>
      </c>
      <c r="AJ14" s="240" t="b">
        <f t="shared" ca="1" si="2"/>
        <v>0</v>
      </c>
      <c r="AK14" s="240">
        <f t="shared" ca="1" si="6"/>
        <v>0</v>
      </c>
      <c r="AL14" s="240">
        <f t="shared" ca="1" si="7"/>
        <v>0</v>
      </c>
      <c r="AM14" s="240">
        <f t="shared" ca="1" si="8"/>
        <v>0</v>
      </c>
      <c r="AN14" s="240">
        <f t="shared" ca="1" si="23"/>
        <v>0</v>
      </c>
    </row>
    <row r="15" spans="2:40">
      <c r="B15" s="210" t="s">
        <v>139</v>
      </c>
      <c r="I15" s="217">
        <f t="shared" si="9"/>
        <v>60.666666666666686</v>
      </c>
      <c r="J15" s="216">
        <f t="shared" si="3"/>
        <v>0</v>
      </c>
      <c r="K15" s="216">
        <f t="shared" si="10"/>
        <v>0</v>
      </c>
      <c r="M15" s="217">
        <f t="shared" si="11"/>
        <v>60.666666666666686</v>
      </c>
      <c r="N15" s="217">
        <f t="shared" ca="1" si="0"/>
        <v>0</v>
      </c>
      <c r="O15" s="216">
        <f t="shared" ca="1" si="12"/>
        <v>0</v>
      </c>
      <c r="P15" s="216">
        <f t="shared" ca="1" si="13"/>
        <v>0</v>
      </c>
      <c r="R15" s="217">
        <f t="shared" si="14"/>
        <v>60.666666666666686</v>
      </c>
      <c r="S15" s="240">
        <f t="shared" si="4"/>
        <v>0</v>
      </c>
      <c r="T15" s="240">
        <f t="shared" si="15"/>
        <v>0</v>
      </c>
      <c r="V15" s="217">
        <f t="shared" si="16"/>
        <v>60.666666666666686</v>
      </c>
      <c r="W15" s="217">
        <f t="shared" ca="1" si="17"/>
        <v>0</v>
      </c>
      <c r="X15" s="240">
        <f t="shared" ca="1" si="18"/>
        <v>0</v>
      </c>
      <c r="Y15" s="240">
        <f t="shared" ca="1" si="19"/>
        <v>0</v>
      </c>
      <c r="AA15" s="217">
        <f t="shared" si="20"/>
        <v>60.666666666666686</v>
      </c>
      <c r="AB15" s="216">
        <f t="shared" si="5"/>
        <v>0</v>
      </c>
      <c r="AC15" s="240">
        <f t="shared" si="21"/>
        <v>0</v>
      </c>
      <c r="AD15" s="216"/>
      <c r="AF15" s="210">
        <f>ROW()</f>
        <v>15</v>
      </c>
      <c r="AG15" s="217">
        <f t="shared" si="22"/>
        <v>60.666666666666686</v>
      </c>
      <c r="AH15" s="217">
        <f t="shared" ca="1" si="1"/>
        <v>0</v>
      </c>
      <c r="AI15" s="217">
        <f ca="1">IF(AH14&lt;&gt;0,FINANCIAMIENTO!$F$5,0)</f>
        <v>0</v>
      </c>
      <c r="AJ15" s="240" t="b">
        <f t="shared" ca="1" si="2"/>
        <v>0</v>
      </c>
      <c r="AK15" s="240">
        <f t="shared" ca="1" si="6"/>
        <v>0</v>
      </c>
      <c r="AL15" s="240">
        <f t="shared" ca="1" si="7"/>
        <v>0</v>
      </c>
      <c r="AM15" s="240">
        <f t="shared" ca="1" si="8"/>
        <v>0</v>
      </c>
      <c r="AN15" s="240">
        <f t="shared" ca="1" si="23"/>
        <v>0</v>
      </c>
    </row>
    <row r="16" spans="2:40">
      <c r="D16" s="210" t="s">
        <v>79</v>
      </c>
      <c r="F16" s="210" t="s">
        <v>80</v>
      </c>
      <c r="I16" s="217">
        <f t="shared" si="9"/>
        <v>60.750000000000021</v>
      </c>
      <c r="J16" s="216">
        <f t="shared" si="3"/>
        <v>0</v>
      </c>
      <c r="K16" s="216">
        <f t="shared" si="10"/>
        <v>0</v>
      </c>
      <c r="M16" s="217">
        <f t="shared" si="11"/>
        <v>60.750000000000021</v>
      </c>
      <c r="N16" s="217">
        <f t="shared" ca="1" si="0"/>
        <v>0</v>
      </c>
      <c r="O16" s="216">
        <f t="shared" ca="1" si="12"/>
        <v>0</v>
      </c>
      <c r="P16" s="216">
        <f t="shared" ca="1" si="13"/>
        <v>0</v>
      </c>
      <c r="R16" s="217">
        <f t="shared" si="14"/>
        <v>60.750000000000021</v>
      </c>
      <c r="S16" s="240">
        <f t="shared" si="4"/>
        <v>0</v>
      </c>
      <c r="T16" s="240">
        <f t="shared" si="15"/>
        <v>0</v>
      </c>
      <c r="V16" s="217">
        <f t="shared" si="16"/>
        <v>60.750000000000021</v>
      </c>
      <c r="W16" s="217">
        <f t="shared" ca="1" si="17"/>
        <v>0</v>
      </c>
      <c r="X16" s="240">
        <f t="shared" ca="1" si="18"/>
        <v>0</v>
      </c>
      <c r="Y16" s="240">
        <f t="shared" ca="1" si="19"/>
        <v>0</v>
      </c>
      <c r="AA16" s="217">
        <f t="shared" si="20"/>
        <v>60.750000000000021</v>
      </c>
      <c r="AB16" s="216">
        <f t="shared" si="5"/>
        <v>0</v>
      </c>
      <c r="AC16" s="240">
        <f t="shared" si="21"/>
        <v>0</v>
      </c>
      <c r="AD16" s="216"/>
      <c r="AF16" s="210">
        <f>ROW()</f>
        <v>16</v>
      </c>
      <c r="AG16" s="217">
        <f t="shared" si="22"/>
        <v>60.750000000000021</v>
      </c>
      <c r="AH16" s="217">
        <f t="shared" ca="1" si="1"/>
        <v>0</v>
      </c>
      <c r="AI16" s="217">
        <f ca="1">IF(AH15&lt;&gt;0,FINANCIAMIENTO!$F$5,0)</f>
        <v>0</v>
      </c>
      <c r="AJ16" s="240" t="b">
        <f t="shared" ca="1" si="2"/>
        <v>0</v>
      </c>
      <c r="AK16" s="240">
        <f t="shared" ca="1" si="6"/>
        <v>0</v>
      </c>
      <c r="AL16" s="240">
        <f t="shared" ca="1" si="7"/>
        <v>0</v>
      </c>
      <c r="AM16" s="240">
        <f t="shared" ca="1" si="8"/>
        <v>0</v>
      </c>
      <c r="AN16" s="240">
        <f t="shared" ca="1" si="23"/>
        <v>0</v>
      </c>
    </row>
    <row r="17" spans="2:40">
      <c r="B17" s="210" t="s">
        <v>140</v>
      </c>
      <c r="D17" s="210">
        <v>1311101.8635</v>
      </c>
      <c r="F17" s="210">
        <v>3920196.4651250429</v>
      </c>
      <c r="I17" s="217">
        <f t="shared" si="9"/>
        <v>60.833333333333357</v>
      </c>
      <c r="J17" s="216">
        <f t="shared" si="3"/>
        <v>0</v>
      </c>
      <c r="K17" s="216">
        <f t="shared" si="10"/>
        <v>0</v>
      </c>
      <c r="M17" s="217">
        <f t="shared" si="11"/>
        <v>60.833333333333357</v>
      </c>
      <c r="N17" s="217">
        <f t="shared" ca="1" si="0"/>
        <v>0</v>
      </c>
      <c r="O17" s="216">
        <f t="shared" ca="1" si="12"/>
        <v>0</v>
      </c>
      <c r="P17" s="216">
        <f t="shared" ca="1" si="13"/>
        <v>0</v>
      </c>
      <c r="R17" s="217">
        <f t="shared" si="14"/>
        <v>60.833333333333357</v>
      </c>
      <c r="S17" s="240">
        <f t="shared" si="4"/>
        <v>0</v>
      </c>
      <c r="T17" s="240">
        <f t="shared" si="15"/>
        <v>0</v>
      </c>
      <c r="V17" s="217">
        <f t="shared" si="16"/>
        <v>60.833333333333357</v>
      </c>
      <c r="W17" s="217">
        <f t="shared" ca="1" si="17"/>
        <v>0</v>
      </c>
      <c r="X17" s="240">
        <f t="shared" ca="1" si="18"/>
        <v>0</v>
      </c>
      <c r="Y17" s="240">
        <f t="shared" ca="1" si="19"/>
        <v>0</v>
      </c>
      <c r="AA17" s="217">
        <f t="shared" si="20"/>
        <v>60.833333333333357</v>
      </c>
      <c r="AB17" s="216">
        <f t="shared" si="5"/>
        <v>0</v>
      </c>
      <c r="AC17" s="240">
        <f t="shared" si="21"/>
        <v>0</v>
      </c>
      <c r="AD17" s="216"/>
      <c r="AF17" s="210">
        <f>ROW()</f>
        <v>17</v>
      </c>
      <c r="AG17" s="217">
        <f t="shared" si="22"/>
        <v>60.833333333333357</v>
      </c>
      <c r="AH17" s="217">
        <f t="shared" ca="1" si="1"/>
        <v>0</v>
      </c>
      <c r="AI17" s="217">
        <f ca="1">IF(AH16&lt;&gt;0,FINANCIAMIENTO!$F$5,0)</f>
        <v>0</v>
      </c>
      <c r="AJ17" s="240" t="b">
        <f t="shared" ca="1" si="2"/>
        <v>0</v>
      </c>
      <c r="AK17" s="240">
        <f t="shared" ca="1" si="6"/>
        <v>0</v>
      </c>
      <c r="AL17" s="240">
        <f t="shared" ca="1" si="7"/>
        <v>0</v>
      </c>
      <c r="AM17" s="240">
        <f t="shared" ca="1" si="8"/>
        <v>0</v>
      </c>
      <c r="AN17" s="240">
        <f t="shared" ca="1" si="23"/>
        <v>0</v>
      </c>
    </row>
    <row r="18" spans="2:40">
      <c r="I18" s="217">
        <f t="shared" si="9"/>
        <v>60.916666666666693</v>
      </c>
      <c r="J18" s="216">
        <f t="shared" si="3"/>
        <v>0</v>
      </c>
      <c r="K18" s="216">
        <f t="shared" si="10"/>
        <v>0</v>
      </c>
      <c r="M18" s="217">
        <f t="shared" si="11"/>
        <v>60.916666666666693</v>
      </c>
      <c r="N18" s="217">
        <f t="shared" ca="1" si="0"/>
        <v>-174293.34893596958</v>
      </c>
      <c r="O18" s="216">
        <f t="shared" ca="1" si="12"/>
        <v>0</v>
      </c>
      <c r="P18" s="216">
        <f t="shared" ca="1" si="13"/>
        <v>-174293.34893596958</v>
      </c>
      <c r="R18" s="217">
        <f t="shared" si="14"/>
        <v>60.916666666666693</v>
      </c>
      <c r="S18" s="240">
        <f t="shared" si="4"/>
        <v>0</v>
      </c>
      <c r="T18" s="240">
        <f t="shared" si="15"/>
        <v>0</v>
      </c>
      <c r="V18" s="217">
        <f t="shared" si="16"/>
        <v>60.916666666666693</v>
      </c>
      <c r="W18" s="217">
        <f t="shared" ca="1" si="17"/>
        <v>-201302.24587133416</v>
      </c>
      <c r="X18" s="240">
        <f t="shared" ca="1" si="18"/>
        <v>0</v>
      </c>
      <c r="Y18" s="240">
        <f t="shared" ca="1" si="19"/>
        <v>-201302.24587133416</v>
      </c>
      <c r="AA18" s="217">
        <f t="shared" si="20"/>
        <v>60.916666666666693</v>
      </c>
      <c r="AB18" s="216">
        <f t="shared" si="5"/>
        <v>0</v>
      </c>
      <c r="AC18" s="240">
        <f t="shared" si="21"/>
        <v>0</v>
      </c>
      <c r="AD18" s="216"/>
      <c r="AF18" s="210">
        <f>ROW()</f>
        <v>18</v>
      </c>
      <c r="AG18" s="217">
        <f t="shared" si="22"/>
        <v>60.916666666666693</v>
      </c>
      <c r="AH18" s="217">
        <f t="shared" ca="1" si="1"/>
        <v>1E-3</v>
      </c>
      <c r="AI18" s="217">
        <f ca="1">IF(AH17&lt;&gt;0,FINANCIAMIENTO!$F$5,0)</f>
        <v>0</v>
      </c>
      <c r="AJ18" s="240" t="b">
        <f t="shared" ca="1" si="2"/>
        <v>0</v>
      </c>
      <c r="AK18" s="240">
        <f t="shared" ca="1" si="6"/>
        <v>0</v>
      </c>
      <c r="AL18" s="240">
        <f t="shared" ca="1" si="7"/>
        <v>0</v>
      </c>
      <c r="AM18" s="240">
        <f t="shared" ca="1" si="8"/>
        <v>0</v>
      </c>
      <c r="AN18" s="240">
        <f t="shared" ca="1" si="23"/>
        <v>1E-3</v>
      </c>
    </row>
    <row r="19" spans="2:40">
      <c r="I19" s="217">
        <f t="shared" si="9"/>
        <v>61.000000000000028</v>
      </c>
      <c r="J19" s="216">
        <f t="shared" ca="1" si="3"/>
        <v>62856.639291942876</v>
      </c>
      <c r="K19" s="216">
        <f t="shared" ca="1" si="10"/>
        <v>62856.639291942876</v>
      </c>
      <c r="M19" s="217">
        <f t="shared" si="11"/>
        <v>61.000000000000028</v>
      </c>
      <c r="N19" s="217">
        <f t="shared" ca="1" si="0"/>
        <v>0</v>
      </c>
      <c r="O19" s="216">
        <f t="shared" ca="1" si="12"/>
        <v>76363.675936010943</v>
      </c>
      <c r="P19" s="216">
        <f t="shared" ca="1" si="13"/>
        <v>-97929.672999958639</v>
      </c>
      <c r="R19" s="217">
        <f t="shared" si="14"/>
        <v>61.000000000000028</v>
      </c>
      <c r="S19" s="240">
        <f t="shared" ca="1" si="4"/>
        <v>62856.639291942876</v>
      </c>
      <c r="T19" s="240">
        <f t="shared" ca="1" si="15"/>
        <v>62856.639291942876</v>
      </c>
      <c r="V19" s="217">
        <f t="shared" si="16"/>
        <v>61.000000000000028</v>
      </c>
      <c r="W19" s="217">
        <f t="shared" ca="1" si="17"/>
        <v>0</v>
      </c>
      <c r="X19" s="240">
        <f t="shared" ca="1" si="18"/>
        <v>76363.675936010943</v>
      </c>
      <c r="Y19" s="240">
        <f t="shared" ca="1" si="19"/>
        <v>-124938.56993532322</v>
      </c>
      <c r="AA19" s="217">
        <f t="shared" si="20"/>
        <v>61.000000000000028</v>
      </c>
      <c r="AB19" s="216">
        <f t="shared" ca="1" si="5"/>
        <v>62856.639291942876</v>
      </c>
      <c r="AC19" s="240">
        <f t="shared" ca="1" si="21"/>
        <v>62856.639291942876</v>
      </c>
      <c r="AD19" s="216"/>
      <c r="AF19" s="210">
        <f>ROW()</f>
        <v>19</v>
      </c>
      <c r="AG19" s="217">
        <f t="shared" si="22"/>
        <v>61.000000000000028</v>
      </c>
      <c r="AH19" s="217">
        <f t="shared" ca="1" si="1"/>
        <v>0</v>
      </c>
      <c r="AI19" s="217">
        <f ca="1">IF(AH18&lt;&gt;0,FINANCIAMIENTO!$F$5,0)</f>
        <v>63801.225248500457</v>
      </c>
      <c r="AJ19" s="240" t="b">
        <f t="shared" ca="1" si="2"/>
        <v>1</v>
      </c>
      <c r="AK19" s="240">
        <f t="shared" ca="1" si="6"/>
        <v>63801.225248500457</v>
      </c>
      <c r="AL19" s="240">
        <f t="shared" ca="1" si="7"/>
        <v>76363.675936010943</v>
      </c>
      <c r="AM19" s="240">
        <f t="shared" ca="1" si="8"/>
        <v>63801.225248500457</v>
      </c>
      <c r="AN19" s="240">
        <f t="shared" ca="1" si="23"/>
        <v>63801.226248500454</v>
      </c>
    </row>
    <row r="20" spans="2:40">
      <c r="B20" s="210" t="s">
        <v>138</v>
      </c>
      <c r="I20" s="217">
        <f t="shared" si="9"/>
        <v>61.083333333333364</v>
      </c>
      <c r="J20" s="216">
        <f t="shared" ca="1" si="3"/>
        <v>62856.639291942876</v>
      </c>
      <c r="K20" s="216">
        <f t="shared" ca="1" si="10"/>
        <v>125713.27858388575</v>
      </c>
      <c r="M20" s="217">
        <f t="shared" si="11"/>
        <v>61.083333333333364</v>
      </c>
      <c r="N20" s="217">
        <f t="shared" ca="1" si="0"/>
        <v>0</v>
      </c>
      <c r="O20" s="216">
        <f t="shared" ca="1" si="12"/>
        <v>76363.675936010943</v>
      </c>
      <c r="P20" s="216">
        <f t="shared" ca="1" si="13"/>
        <v>-21565.997063947696</v>
      </c>
      <c r="R20" s="217">
        <f t="shared" si="14"/>
        <v>61.083333333333364</v>
      </c>
      <c r="S20" s="240">
        <f t="shared" ca="1" si="4"/>
        <v>62856.639291942876</v>
      </c>
      <c r="T20" s="240">
        <f t="shared" ca="1" si="15"/>
        <v>125713.27858388575</v>
      </c>
      <c r="V20" s="217">
        <f t="shared" si="16"/>
        <v>61.083333333333364</v>
      </c>
      <c r="W20" s="217">
        <f t="shared" ca="1" si="17"/>
        <v>0</v>
      </c>
      <c r="X20" s="240">
        <f t="shared" ca="1" si="18"/>
        <v>76363.675936010943</v>
      </c>
      <c r="Y20" s="240">
        <f t="shared" ca="1" si="19"/>
        <v>-48574.893999312277</v>
      </c>
      <c r="AA20" s="217">
        <f t="shared" si="20"/>
        <v>61.083333333333364</v>
      </c>
      <c r="AB20" s="216">
        <f t="shared" ca="1" si="5"/>
        <v>62856.639291942876</v>
      </c>
      <c r="AC20" s="240">
        <f t="shared" ca="1" si="21"/>
        <v>125713.27858388575</v>
      </c>
      <c r="AD20" s="216"/>
      <c r="AF20" s="210">
        <f>ROW()</f>
        <v>20</v>
      </c>
      <c r="AG20" s="217">
        <f t="shared" si="22"/>
        <v>61.083333333333364</v>
      </c>
      <c r="AH20" s="217">
        <f t="shared" ca="1" si="1"/>
        <v>0</v>
      </c>
      <c r="AI20" s="217">
        <f ca="1">IF(AH19&lt;&gt;0,FINANCIAMIENTO!$F$5,0)</f>
        <v>0</v>
      </c>
      <c r="AJ20" s="240" t="b">
        <f t="shared" ca="1" si="2"/>
        <v>1</v>
      </c>
      <c r="AK20" s="240">
        <f t="shared" ca="1" si="6"/>
        <v>63801.225248500457</v>
      </c>
      <c r="AL20" s="240">
        <f t="shared" ca="1" si="7"/>
        <v>76363.675936010943</v>
      </c>
      <c r="AM20" s="240">
        <f t="shared" ca="1" si="8"/>
        <v>63801.225248500457</v>
      </c>
      <c r="AN20" s="240">
        <f t="shared" ca="1" si="23"/>
        <v>127602.4514970009</v>
      </c>
    </row>
    <row r="21" spans="2:40">
      <c r="B21" s="210" t="s">
        <v>141</v>
      </c>
      <c r="I21" s="217">
        <f t="shared" si="9"/>
        <v>61.1666666666667</v>
      </c>
      <c r="J21" s="216">
        <f t="shared" ca="1" si="3"/>
        <v>62856.639291942876</v>
      </c>
      <c r="K21" s="216">
        <f t="shared" ca="1" si="10"/>
        <v>188569.91787582863</v>
      </c>
      <c r="M21" s="217">
        <f t="shared" si="11"/>
        <v>61.1666666666667</v>
      </c>
      <c r="N21" s="217">
        <f t="shared" ca="1" si="0"/>
        <v>0</v>
      </c>
      <c r="O21" s="216">
        <f t="shared" ca="1" si="12"/>
        <v>76363.675936010943</v>
      </c>
      <c r="P21" s="216">
        <f t="shared" ca="1" si="13"/>
        <v>54797.678872063247</v>
      </c>
      <c r="R21" s="217">
        <f t="shared" si="14"/>
        <v>61.1666666666667</v>
      </c>
      <c r="S21" s="240">
        <f t="shared" ca="1" si="4"/>
        <v>62856.639291942876</v>
      </c>
      <c r="T21" s="240">
        <f t="shared" ca="1" si="15"/>
        <v>188569.91787582863</v>
      </c>
      <c r="V21" s="217">
        <f t="shared" si="16"/>
        <v>61.1666666666667</v>
      </c>
      <c r="W21" s="217">
        <f t="shared" ca="1" si="17"/>
        <v>0</v>
      </c>
      <c r="X21" s="240">
        <f t="shared" ca="1" si="18"/>
        <v>76363.675936010943</v>
      </c>
      <c r="Y21" s="240">
        <f t="shared" ca="1" si="19"/>
        <v>27788.781936698666</v>
      </c>
      <c r="AA21" s="217">
        <f t="shared" si="20"/>
        <v>61.1666666666667</v>
      </c>
      <c r="AB21" s="216">
        <f t="shared" ca="1" si="5"/>
        <v>62856.639291942876</v>
      </c>
      <c r="AC21" s="240">
        <f t="shared" ca="1" si="21"/>
        <v>188569.91787582863</v>
      </c>
      <c r="AD21" s="216"/>
      <c r="AF21" s="210">
        <f>ROW()</f>
        <v>21</v>
      </c>
      <c r="AG21" s="217">
        <f t="shared" si="22"/>
        <v>61.1666666666667</v>
      </c>
      <c r="AH21" s="217">
        <f t="shared" ca="1" si="1"/>
        <v>0</v>
      </c>
      <c r="AI21" s="217">
        <f ca="1">IF(AH20&lt;&gt;0,FINANCIAMIENTO!$F$5,0)</f>
        <v>0</v>
      </c>
      <c r="AJ21" s="240" t="b">
        <f t="shared" ca="1" si="2"/>
        <v>1</v>
      </c>
      <c r="AK21" s="240">
        <f t="shared" ca="1" si="6"/>
        <v>63801.225248500457</v>
      </c>
      <c r="AL21" s="240">
        <f t="shared" ca="1" si="7"/>
        <v>76363.675936010943</v>
      </c>
      <c r="AM21" s="240">
        <f t="shared" ca="1" si="8"/>
        <v>63801.225248500457</v>
      </c>
      <c r="AN21" s="240">
        <f t="shared" ca="1" si="23"/>
        <v>191403.67674550135</v>
      </c>
    </row>
    <row r="22" spans="2:40">
      <c r="I22" s="217">
        <f t="shared" si="9"/>
        <v>61.250000000000036</v>
      </c>
      <c r="J22" s="216">
        <f t="shared" ca="1" si="3"/>
        <v>62856.639291942876</v>
      </c>
      <c r="K22" s="216">
        <f t="shared" ca="1" si="10"/>
        <v>251426.55716777151</v>
      </c>
      <c r="M22" s="217">
        <f t="shared" si="11"/>
        <v>61.250000000000036</v>
      </c>
      <c r="N22" s="217">
        <f t="shared" ca="1" si="0"/>
        <v>0</v>
      </c>
      <c r="O22" s="216">
        <f t="shared" ca="1" si="12"/>
        <v>76363.675936010943</v>
      </c>
      <c r="P22" s="216">
        <f t="shared" ca="1" si="13"/>
        <v>131161.35480807419</v>
      </c>
      <c r="R22" s="217">
        <f t="shared" si="14"/>
        <v>61.250000000000036</v>
      </c>
      <c r="S22" s="240">
        <f t="shared" ca="1" si="4"/>
        <v>62856.639291942876</v>
      </c>
      <c r="T22" s="240">
        <f t="shared" ca="1" si="15"/>
        <v>251426.55716777151</v>
      </c>
      <c r="V22" s="217">
        <f t="shared" si="16"/>
        <v>61.250000000000036</v>
      </c>
      <c r="W22" s="217">
        <f t="shared" ca="1" si="17"/>
        <v>0</v>
      </c>
      <c r="X22" s="240">
        <f t="shared" ca="1" si="18"/>
        <v>76363.675936010943</v>
      </c>
      <c r="Y22" s="240">
        <f t="shared" ca="1" si="19"/>
        <v>104152.45787270961</v>
      </c>
      <c r="AA22" s="217">
        <f t="shared" si="20"/>
        <v>61.250000000000036</v>
      </c>
      <c r="AB22" s="216">
        <f t="shared" ca="1" si="5"/>
        <v>62856.639291942876</v>
      </c>
      <c r="AC22" s="240">
        <f t="shared" ca="1" si="21"/>
        <v>251426.55716777151</v>
      </c>
      <c r="AD22" s="216"/>
      <c r="AF22" s="210">
        <f>ROW()</f>
        <v>22</v>
      </c>
      <c r="AG22" s="217">
        <f t="shared" si="22"/>
        <v>61.250000000000036</v>
      </c>
      <c r="AH22" s="217">
        <f t="shared" ca="1" si="1"/>
        <v>0</v>
      </c>
      <c r="AI22" s="217">
        <f ca="1">IF(AH21&lt;&gt;0,FINANCIAMIENTO!$F$5,0)</f>
        <v>0</v>
      </c>
      <c r="AJ22" s="240" t="b">
        <f t="shared" ca="1" si="2"/>
        <v>1</v>
      </c>
      <c r="AK22" s="240">
        <f t="shared" ca="1" si="6"/>
        <v>63801.225248500457</v>
      </c>
      <c r="AL22" s="240">
        <f t="shared" ca="1" si="7"/>
        <v>76363.675936010943</v>
      </c>
      <c r="AM22" s="240">
        <f t="shared" ca="1" si="8"/>
        <v>63801.225248500457</v>
      </c>
      <c r="AN22" s="240">
        <f t="shared" ca="1" si="23"/>
        <v>255204.90199400182</v>
      </c>
    </row>
    <row r="23" spans="2:40">
      <c r="I23" s="217">
        <f t="shared" si="9"/>
        <v>61.333333333333371</v>
      </c>
      <c r="J23" s="216">
        <f t="shared" ca="1" si="3"/>
        <v>62856.639291942876</v>
      </c>
      <c r="K23" s="216">
        <f t="shared" ca="1" si="10"/>
        <v>314283.19645971438</v>
      </c>
      <c r="M23" s="217">
        <f t="shared" si="11"/>
        <v>61.333333333333371</v>
      </c>
      <c r="N23" s="217">
        <f t="shared" ca="1" si="0"/>
        <v>0</v>
      </c>
      <c r="O23" s="216">
        <f t="shared" ca="1" si="12"/>
        <v>76363.675936010943</v>
      </c>
      <c r="P23" s="216">
        <f t="shared" ca="1" si="13"/>
        <v>207525.03074408515</v>
      </c>
      <c r="R23" s="217">
        <f t="shared" si="14"/>
        <v>61.333333333333371</v>
      </c>
      <c r="S23" s="240">
        <f t="shared" ca="1" si="4"/>
        <v>62856.639291942876</v>
      </c>
      <c r="T23" s="240">
        <f t="shared" ca="1" si="15"/>
        <v>314283.19645971438</v>
      </c>
      <c r="V23" s="217">
        <f t="shared" si="16"/>
        <v>61.333333333333371</v>
      </c>
      <c r="W23" s="217">
        <f t="shared" ca="1" si="17"/>
        <v>0</v>
      </c>
      <c r="X23" s="240">
        <f t="shared" ca="1" si="18"/>
        <v>76363.675936010943</v>
      </c>
      <c r="Y23" s="240">
        <f t="shared" ca="1" si="19"/>
        <v>180516.13380872057</v>
      </c>
      <c r="AA23" s="217">
        <f t="shared" si="20"/>
        <v>61.333333333333371</v>
      </c>
      <c r="AB23" s="216">
        <f t="shared" ca="1" si="5"/>
        <v>62856.639291942876</v>
      </c>
      <c r="AC23" s="240">
        <f t="shared" ca="1" si="21"/>
        <v>314283.19645971438</v>
      </c>
      <c r="AD23" s="216"/>
      <c r="AF23" s="210">
        <f>ROW()</f>
        <v>23</v>
      </c>
      <c r="AG23" s="217">
        <f t="shared" si="22"/>
        <v>61.333333333333371</v>
      </c>
      <c r="AH23" s="217">
        <f t="shared" ca="1" si="1"/>
        <v>0</v>
      </c>
      <c r="AI23" s="217">
        <f ca="1">IF(AH22&lt;&gt;0,FINANCIAMIENTO!$F$5,0)</f>
        <v>0</v>
      </c>
      <c r="AJ23" s="240" t="b">
        <f t="shared" ca="1" si="2"/>
        <v>1</v>
      </c>
      <c r="AK23" s="240">
        <f t="shared" ca="1" si="6"/>
        <v>63801.225248500457</v>
      </c>
      <c r="AL23" s="240">
        <f t="shared" ca="1" si="7"/>
        <v>76363.675936010943</v>
      </c>
      <c r="AM23" s="240">
        <f t="shared" ca="1" si="8"/>
        <v>63801.225248500457</v>
      </c>
      <c r="AN23" s="240">
        <f t="shared" ca="1" si="23"/>
        <v>319006.12724250229</v>
      </c>
    </row>
    <row r="24" spans="2:40">
      <c r="I24" s="217">
        <f t="shared" si="9"/>
        <v>61.416666666666707</v>
      </c>
      <c r="J24" s="216">
        <f t="shared" ca="1" si="3"/>
        <v>62856.639291942876</v>
      </c>
      <c r="K24" s="216">
        <f t="shared" ca="1" si="10"/>
        <v>377139.83575165726</v>
      </c>
      <c r="M24" s="217">
        <f t="shared" si="11"/>
        <v>61.416666666666707</v>
      </c>
      <c r="N24" s="217">
        <f t="shared" ca="1" si="0"/>
        <v>0</v>
      </c>
      <c r="O24" s="216">
        <f t="shared" ca="1" si="12"/>
        <v>76363.675936010943</v>
      </c>
      <c r="P24" s="216">
        <f t="shared" ca="1" si="13"/>
        <v>283888.7066800961</v>
      </c>
      <c r="R24" s="217">
        <f t="shared" si="14"/>
        <v>61.416666666666707</v>
      </c>
      <c r="S24" s="240">
        <f t="shared" ca="1" si="4"/>
        <v>62856.639291942876</v>
      </c>
      <c r="T24" s="240">
        <f t="shared" ca="1" si="15"/>
        <v>377139.83575165726</v>
      </c>
      <c r="V24" s="217">
        <f t="shared" si="16"/>
        <v>61.416666666666707</v>
      </c>
      <c r="W24" s="217">
        <f t="shared" ca="1" si="17"/>
        <v>0</v>
      </c>
      <c r="X24" s="240">
        <f t="shared" ca="1" si="18"/>
        <v>76363.675936010943</v>
      </c>
      <c r="Y24" s="240">
        <f t="shared" ca="1" si="19"/>
        <v>256879.80974473152</v>
      </c>
      <c r="AA24" s="217">
        <f t="shared" si="20"/>
        <v>61.416666666666707</v>
      </c>
      <c r="AB24" s="216">
        <f t="shared" ca="1" si="5"/>
        <v>62856.639291942876</v>
      </c>
      <c r="AC24" s="240">
        <f t="shared" ca="1" si="21"/>
        <v>377139.83575165726</v>
      </c>
      <c r="AD24" s="216"/>
      <c r="AF24" s="210">
        <f>ROW()</f>
        <v>24</v>
      </c>
      <c r="AG24" s="217">
        <f t="shared" si="22"/>
        <v>61.416666666666707</v>
      </c>
      <c r="AH24" s="217">
        <f t="shared" ca="1" si="1"/>
        <v>0</v>
      </c>
      <c r="AI24" s="217">
        <f ca="1">IF(AH23&lt;&gt;0,FINANCIAMIENTO!$F$5,0)</f>
        <v>0</v>
      </c>
      <c r="AJ24" s="240" t="b">
        <f t="shared" ca="1" si="2"/>
        <v>1</v>
      </c>
      <c r="AK24" s="240">
        <f t="shared" ca="1" si="6"/>
        <v>63801.225248500457</v>
      </c>
      <c r="AL24" s="240">
        <f t="shared" ca="1" si="7"/>
        <v>76363.675936010943</v>
      </c>
      <c r="AM24" s="240">
        <f t="shared" ca="1" si="8"/>
        <v>63801.225248500457</v>
      </c>
      <c r="AN24" s="240">
        <f t="shared" ca="1" si="23"/>
        <v>382807.35249100276</v>
      </c>
    </row>
    <row r="25" spans="2:40">
      <c r="B25" s="446" t="s">
        <v>338</v>
      </c>
      <c r="I25" s="217">
        <f t="shared" si="9"/>
        <v>61.500000000000043</v>
      </c>
      <c r="J25" s="216">
        <f t="shared" ca="1" si="3"/>
        <v>62856.639291942876</v>
      </c>
      <c r="K25" s="216">
        <f t="shared" ca="1" si="10"/>
        <v>439996.47504360013</v>
      </c>
      <c r="M25" s="217">
        <f t="shared" si="11"/>
        <v>61.500000000000043</v>
      </c>
      <c r="N25" s="217">
        <f t="shared" ca="1" si="0"/>
        <v>0</v>
      </c>
      <c r="O25" s="216">
        <f t="shared" ca="1" si="12"/>
        <v>76363.675936010943</v>
      </c>
      <c r="P25" s="216">
        <f t="shared" ca="1" si="13"/>
        <v>360252.38261610706</v>
      </c>
      <c r="R25" s="217">
        <f t="shared" si="14"/>
        <v>61.500000000000043</v>
      </c>
      <c r="S25" s="240">
        <f t="shared" ca="1" si="4"/>
        <v>62856.639291942876</v>
      </c>
      <c r="T25" s="240">
        <f t="shared" ca="1" si="15"/>
        <v>439996.47504360013</v>
      </c>
      <c r="V25" s="217">
        <f t="shared" si="16"/>
        <v>61.500000000000043</v>
      </c>
      <c r="W25" s="217">
        <f t="shared" ca="1" si="17"/>
        <v>0</v>
      </c>
      <c r="X25" s="240">
        <f t="shared" ca="1" si="18"/>
        <v>76363.675936010943</v>
      </c>
      <c r="Y25" s="240">
        <f t="shared" ca="1" si="19"/>
        <v>333243.48568074248</v>
      </c>
      <c r="AA25" s="217">
        <f t="shared" si="20"/>
        <v>61.500000000000043</v>
      </c>
      <c r="AB25" s="216">
        <f t="shared" ca="1" si="5"/>
        <v>62856.639291942876</v>
      </c>
      <c r="AC25" s="240">
        <f t="shared" ca="1" si="21"/>
        <v>439996.47504360013</v>
      </c>
      <c r="AD25" s="216"/>
      <c r="AF25" s="210">
        <f>ROW()</f>
        <v>25</v>
      </c>
      <c r="AG25" s="217">
        <f t="shared" si="22"/>
        <v>61.500000000000043</v>
      </c>
      <c r="AH25" s="217">
        <f t="shared" ca="1" si="1"/>
        <v>0</v>
      </c>
      <c r="AI25" s="217">
        <f ca="1">IF(AH24&lt;&gt;0,FINANCIAMIENTO!$F$5,0)</f>
        <v>0</v>
      </c>
      <c r="AJ25" s="240" t="b">
        <f t="shared" ca="1" si="2"/>
        <v>1</v>
      </c>
      <c r="AK25" s="240">
        <f t="shared" ca="1" si="6"/>
        <v>63801.225248500457</v>
      </c>
      <c r="AL25" s="240">
        <f t="shared" ca="1" si="7"/>
        <v>76363.675936010943</v>
      </c>
      <c r="AM25" s="240">
        <f t="shared" ca="1" si="8"/>
        <v>63801.225248500457</v>
      </c>
      <c r="AN25" s="240">
        <f t="shared" ca="1" si="23"/>
        <v>446608.57773950323</v>
      </c>
    </row>
    <row r="26" spans="2:40">
      <c r="B26" s="446" t="s">
        <v>337</v>
      </c>
      <c r="I26" s="217">
        <f t="shared" si="9"/>
        <v>61.583333333333378</v>
      </c>
      <c r="J26" s="216">
        <f t="shared" ca="1" si="3"/>
        <v>62856.639291942876</v>
      </c>
      <c r="K26" s="216">
        <f t="shared" ca="1" si="10"/>
        <v>502853.11433554301</v>
      </c>
      <c r="M26" s="217">
        <f t="shared" si="11"/>
        <v>61.583333333333378</v>
      </c>
      <c r="N26" s="217">
        <f t="shared" ca="1" si="0"/>
        <v>0</v>
      </c>
      <c r="O26" s="216">
        <f t="shared" ca="1" si="12"/>
        <v>76363.675936010943</v>
      </c>
      <c r="P26" s="216">
        <f t="shared" ca="1" si="13"/>
        <v>436616.05855211802</v>
      </c>
      <c r="R26" s="217">
        <f t="shared" si="14"/>
        <v>61.583333333333378</v>
      </c>
      <c r="S26" s="240">
        <f t="shared" ca="1" si="4"/>
        <v>62856.639291942876</v>
      </c>
      <c r="T26" s="240">
        <f t="shared" ca="1" si="15"/>
        <v>502853.11433554301</v>
      </c>
      <c r="V26" s="217">
        <f t="shared" si="16"/>
        <v>61.583333333333378</v>
      </c>
      <c r="W26" s="217">
        <f t="shared" ca="1" si="17"/>
        <v>0</v>
      </c>
      <c r="X26" s="240">
        <f t="shared" ca="1" si="18"/>
        <v>76363.675936010943</v>
      </c>
      <c r="Y26" s="240">
        <f t="shared" ca="1" si="19"/>
        <v>409607.16161675344</v>
      </c>
      <c r="AA26" s="217">
        <f t="shared" si="20"/>
        <v>61.583333333333378</v>
      </c>
      <c r="AB26" s="216">
        <f t="shared" ca="1" si="5"/>
        <v>62856.639291942876</v>
      </c>
      <c r="AC26" s="240">
        <f t="shared" ca="1" si="21"/>
        <v>502853.11433554301</v>
      </c>
      <c r="AD26" s="216"/>
      <c r="AF26" s="210">
        <f>ROW()</f>
        <v>26</v>
      </c>
      <c r="AG26" s="217">
        <f t="shared" si="22"/>
        <v>61.583333333333378</v>
      </c>
      <c r="AH26" s="217">
        <f t="shared" ca="1" si="1"/>
        <v>0</v>
      </c>
      <c r="AI26" s="217">
        <f ca="1">IF(AH25&lt;&gt;0,FINANCIAMIENTO!$F$5,0)</f>
        <v>0</v>
      </c>
      <c r="AJ26" s="240" t="b">
        <f t="shared" ca="1" si="2"/>
        <v>1</v>
      </c>
      <c r="AK26" s="240">
        <f t="shared" ca="1" si="6"/>
        <v>63801.225248500457</v>
      </c>
      <c r="AL26" s="240">
        <f t="shared" ca="1" si="7"/>
        <v>76363.675936010943</v>
      </c>
      <c r="AM26" s="240">
        <f t="shared" ca="1" si="8"/>
        <v>63801.225248500457</v>
      </c>
      <c r="AN26" s="240">
        <f t="shared" ca="1" si="23"/>
        <v>510409.80298800371</v>
      </c>
    </row>
    <row r="27" spans="2:40">
      <c r="B27" s="446" t="s">
        <v>339</v>
      </c>
      <c r="I27" s="217">
        <f t="shared" si="9"/>
        <v>61.666666666666714</v>
      </c>
      <c r="J27" s="216">
        <f t="shared" ca="1" si="3"/>
        <v>62856.639291942876</v>
      </c>
      <c r="K27" s="216">
        <f t="shared" ca="1" si="10"/>
        <v>565709.75362748583</v>
      </c>
      <c r="M27" s="217">
        <f t="shared" si="11"/>
        <v>61.666666666666714</v>
      </c>
      <c r="N27" s="217">
        <f t="shared" ca="1" si="0"/>
        <v>0</v>
      </c>
      <c r="O27" s="216">
        <f t="shared" ca="1" si="12"/>
        <v>76363.675936010943</v>
      </c>
      <c r="P27" s="216">
        <f t="shared" ca="1" si="13"/>
        <v>512979.73448812898</v>
      </c>
      <c r="R27" s="217">
        <f t="shared" si="14"/>
        <v>61.666666666666714</v>
      </c>
      <c r="S27" s="240">
        <f t="shared" ca="1" si="4"/>
        <v>62856.639291942876</v>
      </c>
      <c r="T27" s="240">
        <f t="shared" ca="1" si="15"/>
        <v>565709.75362748583</v>
      </c>
      <c r="V27" s="217">
        <f t="shared" si="16"/>
        <v>61.666666666666714</v>
      </c>
      <c r="W27" s="217">
        <f t="shared" ca="1" si="17"/>
        <v>0</v>
      </c>
      <c r="X27" s="240">
        <f t="shared" ca="1" si="18"/>
        <v>76363.675936010943</v>
      </c>
      <c r="Y27" s="240">
        <f t="shared" ca="1" si="19"/>
        <v>485970.83755276439</v>
      </c>
      <c r="AA27" s="217">
        <f t="shared" si="20"/>
        <v>61.666666666666714</v>
      </c>
      <c r="AB27" s="216">
        <f t="shared" ca="1" si="5"/>
        <v>62856.639291942876</v>
      </c>
      <c r="AC27" s="240">
        <f t="shared" ca="1" si="21"/>
        <v>565709.75362748583</v>
      </c>
      <c r="AD27" s="216"/>
      <c r="AF27" s="210">
        <f>ROW()</f>
        <v>27</v>
      </c>
      <c r="AG27" s="217">
        <f t="shared" si="22"/>
        <v>61.666666666666714</v>
      </c>
      <c r="AH27" s="217">
        <f t="shared" ca="1" si="1"/>
        <v>0</v>
      </c>
      <c r="AI27" s="217">
        <f ca="1">IF(AH26&lt;&gt;0,FINANCIAMIENTO!$F$5,0)</f>
        <v>0</v>
      </c>
      <c r="AJ27" s="240" t="b">
        <f t="shared" ca="1" si="2"/>
        <v>1</v>
      </c>
      <c r="AK27" s="240">
        <f t="shared" ca="1" si="6"/>
        <v>63801.225248500457</v>
      </c>
      <c r="AL27" s="240">
        <f t="shared" ca="1" si="7"/>
        <v>76363.675936010943</v>
      </c>
      <c r="AM27" s="240">
        <f t="shared" ca="1" si="8"/>
        <v>63801.225248500457</v>
      </c>
      <c r="AN27" s="240">
        <f t="shared" ca="1" si="23"/>
        <v>574211.02823650418</v>
      </c>
    </row>
    <row r="28" spans="2:40">
      <c r="B28" s="446" t="s">
        <v>340</v>
      </c>
      <c r="I28" s="217">
        <f t="shared" si="9"/>
        <v>61.75000000000005</v>
      </c>
      <c r="J28" s="216">
        <f t="shared" ca="1" si="3"/>
        <v>62856.639291942876</v>
      </c>
      <c r="K28" s="216">
        <f t="shared" ca="1" si="10"/>
        <v>628566.39291942865</v>
      </c>
      <c r="M28" s="217">
        <f t="shared" si="11"/>
        <v>61.75000000000005</v>
      </c>
      <c r="N28" s="217">
        <f t="shared" ca="1" si="0"/>
        <v>0</v>
      </c>
      <c r="O28" s="216">
        <f t="shared" ca="1" si="12"/>
        <v>76363.675936010943</v>
      </c>
      <c r="P28" s="216">
        <f t="shared" ca="1" si="13"/>
        <v>589343.41042413993</v>
      </c>
      <c r="R28" s="217">
        <f t="shared" si="14"/>
        <v>61.75000000000005</v>
      </c>
      <c r="S28" s="240">
        <f t="shared" ca="1" si="4"/>
        <v>62856.639291942876</v>
      </c>
      <c r="T28" s="240">
        <f t="shared" ca="1" si="15"/>
        <v>628566.39291942865</v>
      </c>
      <c r="V28" s="217">
        <f t="shared" si="16"/>
        <v>61.75000000000005</v>
      </c>
      <c r="W28" s="217">
        <f t="shared" ca="1" si="17"/>
        <v>0</v>
      </c>
      <c r="X28" s="240">
        <f t="shared" ca="1" si="18"/>
        <v>76363.675936010943</v>
      </c>
      <c r="Y28" s="240">
        <f t="shared" ca="1" si="19"/>
        <v>562334.51348877535</v>
      </c>
      <c r="AA28" s="217">
        <f t="shared" si="20"/>
        <v>61.75000000000005</v>
      </c>
      <c r="AB28" s="216">
        <f t="shared" ca="1" si="5"/>
        <v>62856.639291942876</v>
      </c>
      <c r="AC28" s="240">
        <f t="shared" ca="1" si="21"/>
        <v>628566.39291942865</v>
      </c>
      <c r="AD28" s="216"/>
      <c r="AF28" s="210">
        <f>ROW()</f>
        <v>28</v>
      </c>
      <c r="AG28" s="217">
        <f t="shared" si="22"/>
        <v>61.75000000000005</v>
      </c>
      <c r="AH28" s="217">
        <f t="shared" ca="1" si="1"/>
        <v>0</v>
      </c>
      <c r="AI28" s="217">
        <f ca="1">IF(AH27&lt;&gt;0,FINANCIAMIENTO!$F$5,0)</f>
        <v>0</v>
      </c>
      <c r="AJ28" s="240" t="b">
        <f t="shared" ca="1" si="2"/>
        <v>1</v>
      </c>
      <c r="AK28" s="240">
        <f t="shared" ca="1" si="6"/>
        <v>63801.225248500457</v>
      </c>
      <c r="AL28" s="240">
        <f t="shared" ca="1" si="7"/>
        <v>76363.675936010943</v>
      </c>
      <c r="AM28" s="240">
        <f t="shared" ca="1" si="8"/>
        <v>63801.225248500457</v>
      </c>
      <c r="AN28" s="240">
        <f t="shared" ca="1" si="23"/>
        <v>638012.25348500465</v>
      </c>
    </row>
    <row r="29" spans="2:40">
      <c r="B29" s="446"/>
      <c r="I29" s="217">
        <f t="shared" si="9"/>
        <v>61.833333333333385</v>
      </c>
      <c r="J29" s="216">
        <f t="shared" ca="1" si="3"/>
        <v>62856.639291942876</v>
      </c>
      <c r="K29" s="216">
        <f t="shared" ca="1" si="10"/>
        <v>691423.03221137146</v>
      </c>
      <c r="M29" s="217">
        <f t="shared" si="11"/>
        <v>61.833333333333385</v>
      </c>
      <c r="N29" s="217">
        <f t="shared" ca="1" si="0"/>
        <v>0</v>
      </c>
      <c r="O29" s="216">
        <f t="shared" ca="1" si="12"/>
        <v>76363.675936010943</v>
      </c>
      <c r="P29" s="216">
        <f t="shared" ca="1" si="13"/>
        <v>665707.08636015083</v>
      </c>
      <c r="R29" s="217">
        <f t="shared" si="14"/>
        <v>61.833333333333385</v>
      </c>
      <c r="S29" s="240">
        <f t="shared" ca="1" si="4"/>
        <v>62856.639291942876</v>
      </c>
      <c r="T29" s="240">
        <f t="shared" ca="1" si="15"/>
        <v>691423.03221137146</v>
      </c>
      <c r="V29" s="217">
        <f t="shared" si="16"/>
        <v>61.833333333333385</v>
      </c>
      <c r="W29" s="217">
        <f t="shared" ca="1" si="17"/>
        <v>0</v>
      </c>
      <c r="X29" s="240">
        <f t="shared" ca="1" si="18"/>
        <v>76363.675936010943</v>
      </c>
      <c r="Y29" s="240">
        <f t="shared" ca="1" si="19"/>
        <v>638698.18942478625</v>
      </c>
      <c r="AA29" s="217">
        <f t="shared" si="20"/>
        <v>61.833333333333385</v>
      </c>
      <c r="AB29" s="216">
        <f t="shared" ca="1" si="5"/>
        <v>62856.639291942876</v>
      </c>
      <c r="AC29" s="240">
        <f t="shared" ca="1" si="21"/>
        <v>691423.03221137146</v>
      </c>
      <c r="AD29" s="216"/>
      <c r="AF29" s="210">
        <f>ROW()</f>
        <v>29</v>
      </c>
      <c r="AG29" s="217">
        <f t="shared" si="22"/>
        <v>61.833333333333385</v>
      </c>
      <c r="AH29" s="217">
        <f t="shared" ca="1" si="1"/>
        <v>0</v>
      </c>
      <c r="AI29" s="217">
        <f ca="1">IF(AH28&lt;&gt;0,FINANCIAMIENTO!$F$5,0)</f>
        <v>0</v>
      </c>
      <c r="AJ29" s="240" t="b">
        <f t="shared" ca="1" si="2"/>
        <v>1</v>
      </c>
      <c r="AK29" s="240">
        <f t="shared" ca="1" si="6"/>
        <v>63801.225248500457</v>
      </c>
      <c r="AL29" s="240">
        <f t="shared" ca="1" si="7"/>
        <v>76363.675936010943</v>
      </c>
      <c r="AM29" s="240">
        <f t="shared" ca="1" si="8"/>
        <v>63801.225248500457</v>
      </c>
      <c r="AN29" s="240">
        <f t="shared" ca="1" si="23"/>
        <v>701813.47873350512</v>
      </c>
    </row>
    <row r="30" spans="2:40">
      <c r="I30" s="217">
        <f t="shared" si="9"/>
        <v>61.916666666666721</v>
      </c>
      <c r="J30" s="216">
        <f t="shared" ca="1" si="3"/>
        <v>62856.639291942876</v>
      </c>
      <c r="K30" s="216">
        <f t="shared" ca="1" si="10"/>
        <v>754279.67150331428</v>
      </c>
      <c r="M30" s="217">
        <f t="shared" si="11"/>
        <v>61.916666666666721</v>
      </c>
      <c r="N30" s="217">
        <f t="shared" ca="1" si="0"/>
        <v>0</v>
      </c>
      <c r="O30" s="216">
        <f t="shared" ca="1" si="12"/>
        <v>76363.675936010943</v>
      </c>
      <c r="P30" s="216">
        <f t="shared" ca="1" si="13"/>
        <v>742070.76229616173</v>
      </c>
      <c r="R30" s="217">
        <f t="shared" si="14"/>
        <v>61.916666666666721</v>
      </c>
      <c r="S30" s="240">
        <f t="shared" ca="1" si="4"/>
        <v>62856.639291942876</v>
      </c>
      <c r="T30" s="240">
        <f t="shared" ca="1" si="15"/>
        <v>754279.67150331428</v>
      </c>
      <c r="V30" s="217">
        <f t="shared" si="16"/>
        <v>61.916666666666721</v>
      </c>
      <c r="W30" s="217">
        <f t="shared" ca="1" si="17"/>
        <v>0</v>
      </c>
      <c r="X30" s="240">
        <f t="shared" ca="1" si="18"/>
        <v>76363.675936010943</v>
      </c>
      <c r="Y30" s="240">
        <f t="shared" ca="1" si="19"/>
        <v>715061.86536079715</v>
      </c>
      <c r="AA30" s="217">
        <f t="shared" si="20"/>
        <v>61.916666666666721</v>
      </c>
      <c r="AB30" s="216">
        <f t="shared" ca="1" si="5"/>
        <v>62856.639291942876</v>
      </c>
      <c r="AC30" s="240">
        <f t="shared" ca="1" si="21"/>
        <v>754279.67150331428</v>
      </c>
      <c r="AD30" s="216"/>
      <c r="AF30" s="210">
        <f>ROW()</f>
        <v>30</v>
      </c>
      <c r="AG30" s="217">
        <f t="shared" si="22"/>
        <v>61.916666666666721</v>
      </c>
      <c r="AH30" s="217">
        <f t="shared" ca="1" si="1"/>
        <v>0</v>
      </c>
      <c r="AI30" s="217">
        <f ca="1">IF(AH29&lt;&gt;0,FINANCIAMIENTO!$F$5,0)</f>
        <v>0</v>
      </c>
      <c r="AJ30" s="240" t="b">
        <f t="shared" ca="1" si="2"/>
        <v>1</v>
      </c>
      <c r="AK30" s="240">
        <f t="shared" ca="1" si="6"/>
        <v>63801.225248500457</v>
      </c>
      <c r="AL30" s="240">
        <f t="shared" ca="1" si="7"/>
        <v>76363.675936010943</v>
      </c>
      <c r="AM30" s="240">
        <f t="shared" ca="1" si="8"/>
        <v>63801.225248500457</v>
      </c>
      <c r="AN30" s="240">
        <f t="shared" ca="1" si="23"/>
        <v>765614.70398200559</v>
      </c>
    </row>
    <row r="31" spans="2:40">
      <c r="I31" s="217">
        <f t="shared" si="9"/>
        <v>62.000000000000057</v>
      </c>
      <c r="J31" s="216">
        <f t="shared" ca="1" si="3"/>
        <v>62856.639291942876</v>
      </c>
      <c r="K31" s="216">
        <f t="shared" ca="1" si="10"/>
        <v>817136.3107952571</v>
      </c>
      <c r="M31" s="217">
        <f t="shared" si="11"/>
        <v>62.000000000000057</v>
      </c>
      <c r="N31" s="217">
        <f t="shared" ca="1" si="0"/>
        <v>0</v>
      </c>
      <c r="O31" s="216">
        <f t="shared" ca="1" si="12"/>
        <v>76363.675936010943</v>
      </c>
      <c r="P31" s="216">
        <f t="shared" ca="1" si="13"/>
        <v>818434.43823217263</v>
      </c>
      <c r="R31" s="217">
        <f t="shared" si="14"/>
        <v>62.000000000000057</v>
      </c>
      <c r="S31" s="240">
        <f t="shared" ca="1" si="4"/>
        <v>62856.639291942876</v>
      </c>
      <c r="T31" s="240">
        <f t="shared" ca="1" si="15"/>
        <v>817136.3107952571</v>
      </c>
      <c r="V31" s="217">
        <f t="shared" si="16"/>
        <v>62.000000000000057</v>
      </c>
      <c r="W31" s="217">
        <f t="shared" ca="1" si="17"/>
        <v>0</v>
      </c>
      <c r="X31" s="240">
        <f t="shared" ca="1" si="18"/>
        <v>76363.675936010943</v>
      </c>
      <c r="Y31" s="240">
        <f t="shared" ca="1" si="19"/>
        <v>791425.54129680805</v>
      </c>
      <c r="AA31" s="217">
        <f t="shared" si="20"/>
        <v>62.000000000000057</v>
      </c>
      <c r="AB31" s="216">
        <f t="shared" ca="1" si="5"/>
        <v>62856.639291942876</v>
      </c>
      <c r="AC31" s="240">
        <f t="shared" ca="1" si="21"/>
        <v>817136.3107952571</v>
      </c>
      <c r="AD31" s="216"/>
      <c r="AF31" s="210">
        <f>ROW()</f>
        <v>31</v>
      </c>
      <c r="AG31" s="217">
        <f t="shared" si="22"/>
        <v>62.000000000000057</v>
      </c>
      <c r="AH31" s="217">
        <f t="shared" ca="1" si="1"/>
        <v>0</v>
      </c>
      <c r="AI31" s="217">
        <f ca="1">IF(AH30&lt;&gt;0,FINANCIAMIENTO!$F$5,0)</f>
        <v>0</v>
      </c>
      <c r="AJ31" s="240" t="b">
        <f t="shared" ca="1" si="2"/>
        <v>1</v>
      </c>
      <c r="AK31" s="240">
        <f t="shared" ca="1" si="6"/>
        <v>63801.225248500457</v>
      </c>
      <c r="AL31" s="240">
        <f t="shared" ca="1" si="7"/>
        <v>76363.675936010943</v>
      </c>
      <c r="AM31" s="240">
        <f t="shared" ca="1" si="8"/>
        <v>63801.225248500457</v>
      </c>
      <c r="AN31" s="240">
        <f t="shared" ca="1" si="23"/>
        <v>829415.92923050607</v>
      </c>
    </row>
    <row r="32" spans="2:40">
      <c r="I32" s="217">
        <f t="shared" si="9"/>
        <v>62.083333333333393</v>
      </c>
      <c r="J32" s="216">
        <f t="shared" ca="1" si="3"/>
        <v>62856.639291942876</v>
      </c>
      <c r="K32" s="216">
        <f t="shared" ca="1" si="10"/>
        <v>879992.95008719992</v>
      </c>
      <c r="M32" s="217">
        <f t="shared" si="11"/>
        <v>62.083333333333393</v>
      </c>
      <c r="N32" s="217">
        <f t="shared" ca="1" si="0"/>
        <v>0</v>
      </c>
      <c r="O32" s="216">
        <f t="shared" ca="1" si="12"/>
        <v>76363.675936010943</v>
      </c>
      <c r="P32" s="216">
        <f t="shared" ca="1" si="13"/>
        <v>894798.11416818353</v>
      </c>
      <c r="R32" s="217">
        <f t="shared" si="14"/>
        <v>62.083333333333393</v>
      </c>
      <c r="S32" s="240">
        <f t="shared" ca="1" si="4"/>
        <v>62856.639291942876</v>
      </c>
      <c r="T32" s="240">
        <f t="shared" ca="1" si="15"/>
        <v>879992.95008719992</v>
      </c>
      <c r="V32" s="217">
        <f t="shared" si="16"/>
        <v>62.083333333333393</v>
      </c>
      <c r="W32" s="217">
        <f t="shared" ca="1" si="17"/>
        <v>0</v>
      </c>
      <c r="X32" s="240">
        <f t="shared" ca="1" si="18"/>
        <v>76363.675936010943</v>
      </c>
      <c r="Y32" s="240">
        <f t="shared" ca="1" si="19"/>
        <v>867789.21723281895</v>
      </c>
      <c r="AA32" s="217">
        <f t="shared" si="20"/>
        <v>62.083333333333393</v>
      </c>
      <c r="AB32" s="216">
        <f t="shared" ca="1" si="5"/>
        <v>62856.639291942876</v>
      </c>
      <c r="AC32" s="240">
        <f t="shared" ca="1" si="21"/>
        <v>879992.95008719992</v>
      </c>
      <c r="AD32" s="216"/>
      <c r="AF32" s="210">
        <f>ROW()</f>
        <v>32</v>
      </c>
      <c r="AG32" s="217">
        <f t="shared" si="22"/>
        <v>62.083333333333393</v>
      </c>
      <c r="AH32" s="217">
        <f t="shared" ca="1" si="1"/>
        <v>0</v>
      </c>
      <c r="AI32" s="217">
        <f ca="1">IF(AH31&lt;&gt;0,FINANCIAMIENTO!$F$5,0)</f>
        <v>0</v>
      </c>
      <c r="AJ32" s="240" t="b">
        <f t="shared" ca="1" si="2"/>
        <v>1</v>
      </c>
      <c r="AK32" s="240">
        <f t="shared" ca="1" si="6"/>
        <v>63801.225248500457</v>
      </c>
      <c r="AL32" s="240">
        <f t="shared" ca="1" si="7"/>
        <v>76363.675936010943</v>
      </c>
      <c r="AM32" s="240">
        <f t="shared" ca="1" si="8"/>
        <v>63801.225248500457</v>
      </c>
      <c r="AN32" s="240">
        <f t="shared" ca="1" si="23"/>
        <v>893217.15447900654</v>
      </c>
    </row>
    <row r="33" spans="9:40">
      <c r="I33" s="217">
        <f t="shared" si="9"/>
        <v>62.166666666666728</v>
      </c>
      <c r="J33" s="216">
        <f t="shared" ca="1" si="3"/>
        <v>62856.639291942876</v>
      </c>
      <c r="K33" s="216">
        <f t="shared" ca="1" si="10"/>
        <v>942849.58937914274</v>
      </c>
      <c r="M33" s="217">
        <f t="shared" si="11"/>
        <v>62.166666666666728</v>
      </c>
      <c r="N33" s="217">
        <f t="shared" ca="1" si="0"/>
        <v>0</v>
      </c>
      <c r="O33" s="216">
        <f t="shared" ca="1" si="12"/>
        <v>76363.675936010943</v>
      </c>
      <c r="P33" s="216">
        <f t="shared" ca="1" si="13"/>
        <v>971161.79010419443</v>
      </c>
      <c r="R33" s="217">
        <f t="shared" si="14"/>
        <v>62.166666666666728</v>
      </c>
      <c r="S33" s="240">
        <f t="shared" ca="1" si="4"/>
        <v>62856.639291942876</v>
      </c>
      <c r="T33" s="240">
        <f t="shared" ca="1" si="15"/>
        <v>942849.58937914274</v>
      </c>
      <c r="V33" s="217">
        <f t="shared" si="16"/>
        <v>62.166666666666728</v>
      </c>
      <c r="W33" s="217">
        <f t="shared" ca="1" si="17"/>
        <v>0</v>
      </c>
      <c r="X33" s="240">
        <f t="shared" ca="1" si="18"/>
        <v>76363.675936010943</v>
      </c>
      <c r="Y33" s="240">
        <f t="shared" ca="1" si="19"/>
        <v>944152.89316882985</v>
      </c>
      <c r="AA33" s="217">
        <f t="shared" si="20"/>
        <v>62.166666666666728</v>
      </c>
      <c r="AB33" s="216">
        <f t="shared" ca="1" si="5"/>
        <v>62856.639291942876</v>
      </c>
      <c r="AC33" s="240">
        <f t="shared" ca="1" si="21"/>
        <v>942849.58937914274</v>
      </c>
      <c r="AD33" s="216"/>
      <c r="AF33" s="210">
        <f>ROW()</f>
        <v>33</v>
      </c>
      <c r="AG33" s="217">
        <f t="shared" si="22"/>
        <v>62.166666666666728</v>
      </c>
      <c r="AH33" s="217">
        <f t="shared" ca="1" si="1"/>
        <v>0</v>
      </c>
      <c r="AI33" s="217">
        <f ca="1">IF(AH32&lt;&gt;0,FINANCIAMIENTO!$F$5,0)</f>
        <v>0</v>
      </c>
      <c r="AJ33" s="240" t="b">
        <f t="shared" ca="1" si="2"/>
        <v>1</v>
      </c>
      <c r="AK33" s="240">
        <f t="shared" ca="1" si="6"/>
        <v>63801.225248500457</v>
      </c>
      <c r="AL33" s="240">
        <f t="shared" ca="1" si="7"/>
        <v>76363.675936010943</v>
      </c>
      <c r="AM33" s="240">
        <f t="shared" ca="1" si="8"/>
        <v>63801.225248500457</v>
      </c>
      <c r="AN33" s="240">
        <f t="shared" ca="1" si="23"/>
        <v>957018.37972750701</v>
      </c>
    </row>
    <row r="34" spans="9:40">
      <c r="I34" s="217">
        <f t="shared" si="9"/>
        <v>62.250000000000064</v>
      </c>
      <c r="J34" s="216">
        <f t="shared" ca="1" si="3"/>
        <v>62856.639291942876</v>
      </c>
      <c r="K34" s="216">
        <f t="shared" ca="1" si="10"/>
        <v>1005706.2286710856</v>
      </c>
      <c r="M34" s="217">
        <f t="shared" si="11"/>
        <v>62.250000000000064</v>
      </c>
      <c r="N34" s="217">
        <f t="shared" ca="1" si="0"/>
        <v>0</v>
      </c>
      <c r="O34" s="216">
        <f t="shared" ca="1" si="12"/>
        <v>76363.675936010943</v>
      </c>
      <c r="P34" s="216">
        <f t="shared" ca="1" si="13"/>
        <v>1047525.4660402053</v>
      </c>
      <c r="R34" s="217">
        <f t="shared" si="14"/>
        <v>62.250000000000064</v>
      </c>
      <c r="S34" s="240">
        <f t="shared" ca="1" si="4"/>
        <v>62856.639291942876</v>
      </c>
      <c r="T34" s="240">
        <f t="shared" ca="1" si="15"/>
        <v>1005706.2286710856</v>
      </c>
      <c r="V34" s="217">
        <f t="shared" si="16"/>
        <v>62.250000000000064</v>
      </c>
      <c r="W34" s="217">
        <f t="shared" ca="1" si="17"/>
        <v>0</v>
      </c>
      <c r="X34" s="240">
        <f t="shared" ca="1" si="18"/>
        <v>76363.675936010943</v>
      </c>
      <c r="Y34" s="240">
        <f t="shared" ca="1" si="19"/>
        <v>1020516.5691048407</v>
      </c>
      <c r="AA34" s="217">
        <f t="shared" si="20"/>
        <v>62.250000000000064</v>
      </c>
      <c r="AB34" s="216">
        <f t="shared" ca="1" si="5"/>
        <v>62856.639291942876</v>
      </c>
      <c r="AC34" s="240">
        <f t="shared" ca="1" si="21"/>
        <v>1005706.2286710856</v>
      </c>
      <c r="AD34" s="216"/>
      <c r="AF34" s="210">
        <f>ROW()</f>
        <v>34</v>
      </c>
      <c r="AG34" s="217">
        <f t="shared" si="22"/>
        <v>62.250000000000064</v>
      </c>
      <c r="AH34" s="217">
        <f t="shared" ca="1" si="1"/>
        <v>0</v>
      </c>
      <c r="AI34" s="217">
        <f ca="1">IF(AH33&lt;&gt;0,FINANCIAMIENTO!$F$5,0)</f>
        <v>0</v>
      </c>
      <c r="AJ34" s="240" t="b">
        <f t="shared" ca="1" si="2"/>
        <v>1</v>
      </c>
      <c r="AK34" s="240">
        <f t="shared" ca="1" si="6"/>
        <v>63801.225248500457</v>
      </c>
      <c r="AL34" s="240">
        <f t="shared" ca="1" si="7"/>
        <v>76363.675936010943</v>
      </c>
      <c r="AM34" s="240">
        <f t="shared" ca="1" si="8"/>
        <v>63801.225248500457</v>
      </c>
      <c r="AN34" s="240">
        <f t="shared" ca="1" si="23"/>
        <v>1020819.6049760075</v>
      </c>
    </row>
    <row r="35" spans="9:40">
      <c r="I35" s="217">
        <f t="shared" si="9"/>
        <v>62.3333333333334</v>
      </c>
      <c r="J35" s="216">
        <f t="shared" ca="1" si="3"/>
        <v>62856.639291942876</v>
      </c>
      <c r="K35" s="216">
        <f t="shared" ca="1" si="10"/>
        <v>1068562.8679630284</v>
      </c>
      <c r="M35" s="217">
        <f t="shared" si="11"/>
        <v>62.3333333333334</v>
      </c>
      <c r="N35" s="217">
        <f t="shared" ca="1" si="0"/>
        <v>0</v>
      </c>
      <c r="O35" s="216">
        <f t="shared" ca="1" si="12"/>
        <v>76363.675936010943</v>
      </c>
      <c r="P35" s="216">
        <f t="shared" ca="1" si="13"/>
        <v>1123889.1419762163</v>
      </c>
      <c r="R35" s="217">
        <f t="shared" si="14"/>
        <v>62.3333333333334</v>
      </c>
      <c r="S35" s="240">
        <f t="shared" ca="1" si="4"/>
        <v>62856.639291942876</v>
      </c>
      <c r="T35" s="240">
        <f t="shared" ca="1" si="15"/>
        <v>1068562.8679630284</v>
      </c>
      <c r="V35" s="217">
        <f t="shared" si="16"/>
        <v>62.3333333333334</v>
      </c>
      <c r="W35" s="217">
        <f t="shared" ca="1" si="17"/>
        <v>0</v>
      </c>
      <c r="X35" s="240">
        <f t="shared" ca="1" si="18"/>
        <v>76363.675936010943</v>
      </c>
      <c r="Y35" s="240">
        <f t="shared" ca="1" si="19"/>
        <v>1096880.2450408516</v>
      </c>
      <c r="AA35" s="217">
        <f t="shared" si="20"/>
        <v>62.3333333333334</v>
      </c>
      <c r="AB35" s="216">
        <f t="shared" ca="1" si="5"/>
        <v>62856.639291942876</v>
      </c>
      <c r="AC35" s="240">
        <f t="shared" ca="1" si="21"/>
        <v>1068562.8679630284</v>
      </c>
      <c r="AD35" s="216"/>
      <c r="AF35" s="210">
        <f>ROW()</f>
        <v>35</v>
      </c>
      <c r="AG35" s="217">
        <f t="shared" si="22"/>
        <v>62.3333333333334</v>
      </c>
      <c r="AH35" s="217">
        <f t="shared" ca="1" si="1"/>
        <v>0</v>
      </c>
      <c r="AI35" s="217">
        <f ca="1">IF(AH34&lt;&gt;0,FINANCIAMIENTO!$F$5,0)</f>
        <v>0</v>
      </c>
      <c r="AJ35" s="240" t="b">
        <f t="shared" ca="1" si="2"/>
        <v>1</v>
      </c>
      <c r="AK35" s="240">
        <f t="shared" ca="1" si="6"/>
        <v>63801.225248500457</v>
      </c>
      <c r="AL35" s="240">
        <f t="shared" ca="1" si="7"/>
        <v>76363.675936010943</v>
      </c>
      <c r="AM35" s="240">
        <f t="shared" ca="1" si="8"/>
        <v>63801.225248500457</v>
      </c>
      <c r="AN35" s="240">
        <f t="shared" ca="1" si="23"/>
        <v>1084620.830224508</v>
      </c>
    </row>
    <row r="36" spans="9:40">
      <c r="I36" s="217">
        <f t="shared" si="9"/>
        <v>62.416666666666735</v>
      </c>
      <c r="J36" s="216">
        <f t="shared" ca="1" si="3"/>
        <v>62856.639291942876</v>
      </c>
      <c r="K36" s="216">
        <f t="shared" ca="1" si="10"/>
        <v>1131419.5072549712</v>
      </c>
      <c r="M36" s="217">
        <f t="shared" si="11"/>
        <v>62.416666666666735</v>
      </c>
      <c r="N36" s="217">
        <f t="shared" ca="1" si="0"/>
        <v>0</v>
      </c>
      <c r="O36" s="216">
        <f t="shared" ca="1" si="12"/>
        <v>76363.675936010943</v>
      </c>
      <c r="P36" s="216">
        <f t="shared" ca="1" si="13"/>
        <v>1200252.8179122272</v>
      </c>
      <c r="R36" s="217">
        <f t="shared" si="14"/>
        <v>62.416666666666735</v>
      </c>
      <c r="S36" s="240">
        <f t="shared" ca="1" si="4"/>
        <v>62856.639291942876</v>
      </c>
      <c r="T36" s="240">
        <f t="shared" ca="1" si="15"/>
        <v>1131419.5072549712</v>
      </c>
      <c r="V36" s="217">
        <f t="shared" si="16"/>
        <v>62.416666666666735</v>
      </c>
      <c r="W36" s="217">
        <f t="shared" ca="1" si="17"/>
        <v>0</v>
      </c>
      <c r="X36" s="240">
        <f t="shared" ca="1" si="18"/>
        <v>76363.675936010943</v>
      </c>
      <c r="Y36" s="240">
        <f t="shared" ca="1" si="19"/>
        <v>1173243.9209768625</v>
      </c>
      <c r="AA36" s="217">
        <f t="shared" si="20"/>
        <v>62.416666666666735</v>
      </c>
      <c r="AB36" s="216">
        <f t="shared" ca="1" si="5"/>
        <v>62856.639291942876</v>
      </c>
      <c r="AC36" s="240">
        <f t="shared" ca="1" si="21"/>
        <v>1131419.5072549712</v>
      </c>
      <c r="AD36" s="216"/>
      <c r="AF36" s="210">
        <f>ROW()</f>
        <v>36</v>
      </c>
      <c r="AG36" s="217">
        <f t="shared" si="22"/>
        <v>62.416666666666735</v>
      </c>
      <c r="AH36" s="217">
        <f t="shared" ca="1" si="1"/>
        <v>0</v>
      </c>
      <c r="AI36" s="217">
        <f ca="1">IF(AH35&lt;&gt;0,FINANCIAMIENTO!$F$5,0)</f>
        <v>0</v>
      </c>
      <c r="AJ36" s="240" t="b">
        <f t="shared" ca="1" si="2"/>
        <v>1</v>
      </c>
      <c r="AK36" s="240">
        <f t="shared" ca="1" si="6"/>
        <v>63801.225248500457</v>
      </c>
      <c r="AL36" s="240">
        <f t="shared" ca="1" si="7"/>
        <v>76363.675936010943</v>
      </c>
      <c r="AM36" s="240">
        <f t="shared" ca="1" si="8"/>
        <v>63801.225248500457</v>
      </c>
      <c r="AN36" s="240">
        <f t="shared" ca="1" si="23"/>
        <v>1148422.0554730084</v>
      </c>
    </row>
    <row r="37" spans="9:40">
      <c r="I37" s="217">
        <f t="shared" si="9"/>
        <v>62.500000000000071</v>
      </c>
      <c r="J37" s="216">
        <f t="shared" ca="1" si="3"/>
        <v>62856.639291942876</v>
      </c>
      <c r="K37" s="216">
        <f t="shared" ca="1" si="10"/>
        <v>1194276.146546914</v>
      </c>
      <c r="M37" s="217">
        <f t="shared" si="11"/>
        <v>62.500000000000071</v>
      </c>
      <c r="N37" s="217">
        <f t="shared" ca="1" si="0"/>
        <v>0</v>
      </c>
      <c r="O37" s="216">
        <f t="shared" ca="1" si="12"/>
        <v>76363.675936010943</v>
      </c>
      <c r="P37" s="216">
        <f t="shared" ca="1" si="13"/>
        <v>1276616.4938482381</v>
      </c>
      <c r="R37" s="217">
        <f t="shared" si="14"/>
        <v>62.500000000000071</v>
      </c>
      <c r="S37" s="240">
        <f t="shared" ca="1" si="4"/>
        <v>62856.639291942876</v>
      </c>
      <c r="T37" s="240">
        <f t="shared" ca="1" si="15"/>
        <v>1194276.146546914</v>
      </c>
      <c r="V37" s="217">
        <f t="shared" si="16"/>
        <v>62.500000000000071</v>
      </c>
      <c r="W37" s="217">
        <f t="shared" ca="1" si="17"/>
        <v>0</v>
      </c>
      <c r="X37" s="240">
        <f t="shared" ca="1" si="18"/>
        <v>76363.675936010943</v>
      </c>
      <c r="Y37" s="240">
        <f t="shared" ca="1" si="19"/>
        <v>1249607.5969128734</v>
      </c>
      <c r="AA37" s="217">
        <f t="shared" si="20"/>
        <v>62.500000000000071</v>
      </c>
      <c r="AB37" s="216">
        <f t="shared" ca="1" si="5"/>
        <v>62856.639291942876</v>
      </c>
      <c r="AC37" s="240">
        <f t="shared" ca="1" si="21"/>
        <v>1194276.146546914</v>
      </c>
      <c r="AD37" s="216"/>
      <c r="AF37" s="210">
        <f>ROW()</f>
        <v>37</v>
      </c>
      <c r="AG37" s="217">
        <f t="shared" si="22"/>
        <v>62.500000000000071</v>
      </c>
      <c r="AH37" s="217">
        <f t="shared" ca="1" si="1"/>
        <v>0</v>
      </c>
      <c r="AI37" s="217">
        <f ca="1">IF(AH36&lt;&gt;0,FINANCIAMIENTO!$F$5,0)</f>
        <v>0</v>
      </c>
      <c r="AJ37" s="240" t="b">
        <f t="shared" ca="1" si="2"/>
        <v>1</v>
      </c>
      <c r="AK37" s="240">
        <f t="shared" ca="1" si="6"/>
        <v>63801.225248500457</v>
      </c>
      <c r="AL37" s="240">
        <f t="shared" ca="1" si="7"/>
        <v>76363.675936010943</v>
      </c>
      <c r="AM37" s="240">
        <f t="shared" ca="1" si="8"/>
        <v>63801.225248500457</v>
      </c>
      <c r="AN37" s="240">
        <f t="shared" ca="1" si="23"/>
        <v>1212223.2807215089</v>
      </c>
    </row>
    <row r="38" spans="9:40">
      <c r="I38" s="217">
        <f t="shared" si="9"/>
        <v>62.583333333333407</v>
      </c>
      <c r="J38" s="216">
        <f t="shared" ca="1" si="3"/>
        <v>62856.639291942876</v>
      </c>
      <c r="K38" s="216">
        <f t="shared" ca="1" si="10"/>
        <v>1257132.7858388568</v>
      </c>
      <c r="M38" s="217">
        <f t="shared" si="11"/>
        <v>62.583333333333407</v>
      </c>
      <c r="N38" s="217">
        <f t="shared" ref="N38:N69" ca="1" si="24">+IF(AND($N$3&gt;=M39-0.02,$N$3&lt;=M39+0.02),$N$4,0)</f>
        <v>0</v>
      </c>
      <c r="O38" s="216">
        <f t="shared" ca="1" si="12"/>
        <v>76363.675936010943</v>
      </c>
      <c r="P38" s="216">
        <f t="shared" ca="1" si="13"/>
        <v>1352980.169784249</v>
      </c>
      <c r="R38" s="217">
        <f t="shared" si="14"/>
        <v>62.583333333333407</v>
      </c>
      <c r="S38" s="240">
        <f t="shared" ca="1" si="4"/>
        <v>62856.639291942876</v>
      </c>
      <c r="T38" s="240">
        <f t="shared" ca="1" si="15"/>
        <v>1257132.7858388568</v>
      </c>
      <c r="V38" s="217">
        <f t="shared" si="16"/>
        <v>62.583333333333407</v>
      </c>
      <c r="W38" s="217">
        <f t="shared" ca="1" si="17"/>
        <v>0</v>
      </c>
      <c r="X38" s="240">
        <f t="shared" ca="1" si="18"/>
        <v>76363.675936010943</v>
      </c>
      <c r="Y38" s="240">
        <f t="shared" ca="1" si="19"/>
        <v>1325971.2728488843</v>
      </c>
      <c r="AA38" s="217">
        <f t="shared" si="20"/>
        <v>62.583333333333407</v>
      </c>
      <c r="AB38" s="216">
        <f t="shared" ca="1" si="5"/>
        <v>62856.639291942876</v>
      </c>
      <c r="AC38" s="240">
        <f t="shared" ca="1" si="21"/>
        <v>1257132.7858388568</v>
      </c>
      <c r="AD38" s="216"/>
      <c r="AF38" s="210">
        <f>ROW()</f>
        <v>38</v>
      </c>
      <c r="AG38" s="217">
        <f t="shared" si="22"/>
        <v>62.583333333333407</v>
      </c>
      <c r="AH38" s="217">
        <f t="shared" ca="1" si="1"/>
        <v>0</v>
      </c>
      <c r="AI38" s="217">
        <f ca="1">IF(AH37&lt;&gt;0,FINANCIAMIENTO!$F$5,0)</f>
        <v>0</v>
      </c>
      <c r="AJ38" s="240" t="b">
        <f t="shared" ca="1" si="2"/>
        <v>1</v>
      </c>
      <c r="AK38" s="240">
        <f t="shared" ca="1" si="6"/>
        <v>63801.225248500457</v>
      </c>
      <c r="AL38" s="240">
        <f t="shared" ca="1" si="7"/>
        <v>76363.675936010943</v>
      </c>
      <c r="AM38" s="240">
        <f t="shared" ca="1" si="8"/>
        <v>63801.225248500457</v>
      </c>
      <c r="AN38" s="240">
        <f t="shared" ca="1" si="23"/>
        <v>1276024.5059700094</v>
      </c>
    </row>
    <row r="39" spans="9:40">
      <c r="I39" s="217">
        <f t="shared" si="9"/>
        <v>62.666666666666742</v>
      </c>
      <c r="J39" s="216">
        <f t="shared" ca="1" si="3"/>
        <v>62856.639291942876</v>
      </c>
      <c r="K39" s="216">
        <f t="shared" ca="1" si="10"/>
        <v>1319989.4251307996</v>
      </c>
      <c r="M39" s="217">
        <f t="shared" si="11"/>
        <v>62.666666666666742</v>
      </c>
      <c r="N39" s="217">
        <f t="shared" ca="1" si="24"/>
        <v>0</v>
      </c>
      <c r="O39" s="216">
        <f t="shared" ca="1" si="12"/>
        <v>76363.675936010943</v>
      </c>
      <c r="P39" s="216">
        <f t="shared" ca="1" si="13"/>
        <v>1429343.8457202599</v>
      </c>
      <c r="R39" s="217">
        <f t="shared" si="14"/>
        <v>62.666666666666742</v>
      </c>
      <c r="S39" s="240">
        <f t="shared" ca="1" si="4"/>
        <v>62856.639291942876</v>
      </c>
      <c r="T39" s="240">
        <f t="shared" ca="1" si="15"/>
        <v>1319989.4251307996</v>
      </c>
      <c r="V39" s="217">
        <f t="shared" si="16"/>
        <v>62.666666666666742</v>
      </c>
      <c r="W39" s="217">
        <f t="shared" ca="1" si="17"/>
        <v>0</v>
      </c>
      <c r="X39" s="240">
        <f t="shared" ca="1" si="18"/>
        <v>76363.675936010943</v>
      </c>
      <c r="Y39" s="240">
        <f t="shared" ca="1" si="19"/>
        <v>1402334.9487848952</v>
      </c>
      <c r="AA39" s="217">
        <f t="shared" si="20"/>
        <v>62.666666666666742</v>
      </c>
      <c r="AB39" s="216">
        <f t="shared" ca="1" si="5"/>
        <v>62856.639291942876</v>
      </c>
      <c r="AC39" s="240">
        <f t="shared" ca="1" si="21"/>
        <v>1319989.4251307996</v>
      </c>
      <c r="AD39" s="216"/>
      <c r="AF39" s="210">
        <f>ROW()</f>
        <v>39</v>
      </c>
      <c r="AG39" s="217">
        <f t="shared" si="22"/>
        <v>62.666666666666742</v>
      </c>
      <c r="AH39" s="217">
        <f t="shared" ref="AH39:AH70" ca="1" si="25">+IF(AND($AH$3&gt;=AG40-0.02,$N$3&lt;=AG40+0.02),$AH$4,0)</f>
        <v>0</v>
      </c>
      <c r="AI39" s="217">
        <f ca="1">IF(AH38&lt;&gt;0,FINANCIAMIENTO!$F$5,0)</f>
        <v>0</v>
      </c>
      <c r="AJ39" s="240" t="b">
        <f t="shared" ca="1" si="2"/>
        <v>1</v>
      </c>
      <c r="AK39" s="240">
        <f t="shared" ca="1" si="6"/>
        <v>63801.225248500457</v>
      </c>
      <c r="AL39" s="240">
        <f t="shared" ca="1" si="7"/>
        <v>76363.675936010943</v>
      </c>
      <c r="AM39" s="240">
        <f t="shared" ca="1" si="8"/>
        <v>63801.225248500457</v>
      </c>
      <c r="AN39" s="240">
        <f t="shared" ca="1" si="23"/>
        <v>1339825.7312185098</v>
      </c>
    </row>
    <row r="40" spans="9:40">
      <c r="I40" s="217">
        <f t="shared" si="9"/>
        <v>62.750000000000078</v>
      </c>
      <c r="J40" s="216">
        <f t="shared" ca="1" si="3"/>
        <v>62856.639291942876</v>
      </c>
      <c r="K40" s="216">
        <f t="shared" ca="1" si="10"/>
        <v>1382846.0644227425</v>
      </c>
      <c r="M40" s="217">
        <f t="shared" si="11"/>
        <v>62.750000000000078</v>
      </c>
      <c r="N40" s="217">
        <f t="shared" ca="1" si="24"/>
        <v>0</v>
      </c>
      <c r="O40" s="216">
        <f t="shared" ca="1" si="12"/>
        <v>76363.675936010943</v>
      </c>
      <c r="P40" s="216">
        <f t="shared" ca="1" si="13"/>
        <v>1505707.5216562708</v>
      </c>
      <c r="R40" s="217">
        <f t="shared" si="14"/>
        <v>62.750000000000078</v>
      </c>
      <c r="S40" s="240">
        <f t="shared" ca="1" si="4"/>
        <v>62856.639291942876</v>
      </c>
      <c r="T40" s="240">
        <f t="shared" ca="1" si="15"/>
        <v>1382846.0644227425</v>
      </c>
      <c r="V40" s="217">
        <f t="shared" si="16"/>
        <v>62.750000000000078</v>
      </c>
      <c r="W40" s="217">
        <f t="shared" ca="1" si="17"/>
        <v>0</v>
      </c>
      <c r="X40" s="240">
        <f t="shared" ca="1" si="18"/>
        <v>76363.675936010943</v>
      </c>
      <c r="Y40" s="240">
        <f t="shared" ca="1" si="19"/>
        <v>1478698.6247209061</v>
      </c>
      <c r="AA40" s="217">
        <f t="shared" si="20"/>
        <v>62.750000000000078</v>
      </c>
      <c r="AB40" s="216">
        <f t="shared" ca="1" si="5"/>
        <v>62856.639291942876</v>
      </c>
      <c r="AC40" s="240">
        <f t="shared" ca="1" si="21"/>
        <v>1382846.0644227425</v>
      </c>
      <c r="AD40" s="216"/>
      <c r="AF40" s="210">
        <f>ROW()</f>
        <v>40</v>
      </c>
      <c r="AG40" s="217">
        <f t="shared" si="22"/>
        <v>62.750000000000078</v>
      </c>
      <c r="AH40" s="217">
        <f t="shared" ca="1" si="25"/>
        <v>0</v>
      </c>
      <c r="AI40" s="217">
        <f ca="1">IF(AH39&lt;&gt;0,FINANCIAMIENTO!$F$5,0)</f>
        <v>0</v>
      </c>
      <c r="AJ40" s="240" t="b">
        <f t="shared" ca="1" si="2"/>
        <v>1</v>
      </c>
      <c r="AK40" s="240">
        <f t="shared" ca="1" si="6"/>
        <v>63801.225248500457</v>
      </c>
      <c r="AL40" s="240">
        <f t="shared" ca="1" si="7"/>
        <v>76363.675936010943</v>
      </c>
      <c r="AM40" s="240">
        <f t="shared" ca="1" si="8"/>
        <v>63801.225248500457</v>
      </c>
      <c r="AN40" s="240">
        <f t="shared" ca="1" si="23"/>
        <v>1403626.9564670103</v>
      </c>
    </row>
    <row r="41" spans="9:40">
      <c r="I41" s="217">
        <f t="shared" si="9"/>
        <v>62.833333333333414</v>
      </c>
      <c r="J41" s="216">
        <f t="shared" ca="1" si="3"/>
        <v>62856.639291942876</v>
      </c>
      <c r="K41" s="216">
        <f t="shared" ca="1" si="10"/>
        <v>1445702.7037146853</v>
      </c>
      <c r="M41" s="217">
        <f t="shared" si="11"/>
        <v>62.833333333333414</v>
      </c>
      <c r="N41" s="217">
        <f t="shared" ca="1" si="24"/>
        <v>0</v>
      </c>
      <c r="O41" s="216">
        <f t="shared" ca="1" si="12"/>
        <v>76363.675936010943</v>
      </c>
      <c r="P41" s="216">
        <f t="shared" ca="1" si="13"/>
        <v>1582071.1975922817</v>
      </c>
      <c r="R41" s="217">
        <f t="shared" si="14"/>
        <v>62.833333333333414</v>
      </c>
      <c r="S41" s="240">
        <f t="shared" ca="1" si="4"/>
        <v>62856.639291942876</v>
      </c>
      <c r="T41" s="240">
        <f t="shared" ca="1" si="15"/>
        <v>1445702.7037146853</v>
      </c>
      <c r="V41" s="217">
        <f t="shared" si="16"/>
        <v>62.833333333333414</v>
      </c>
      <c r="W41" s="217">
        <f t="shared" ca="1" si="17"/>
        <v>0</v>
      </c>
      <c r="X41" s="240">
        <f t="shared" ca="1" si="18"/>
        <v>76363.675936010943</v>
      </c>
      <c r="Y41" s="240">
        <f t="shared" ca="1" si="19"/>
        <v>1555062.300656917</v>
      </c>
      <c r="AA41" s="217">
        <f t="shared" si="20"/>
        <v>62.833333333333414</v>
      </c>
      <c r="AB41" s="216">
        <f t="shared" ca="1" si="5"/>
        <v>62856.639291942876</v>
      </c>
      <c r="AC41" s="240">
        <f t="shared" ca="1" si="21"/>
        <v>1445702.7037146853</v>
      </c>
      <c r="AD41" s="216"/>
      <c r="AF41" s="210">
        <f>ROW()</f>
        <v>41</v>
      </c>
      <c r="AG41" s="217">
        <f t="shared" si="22"/>
        <v>62.833333333333414</v>
      </c>
      <c r="AH41" s="217">
        <f t="shared" ca="1" si="25"/>
        <v>0</v>
      </c>
      <c r="AI41" s="217">
        <f ca="1">IF(AH40&lt;&gt;0,FINANCIAMIENTO!$F$5,0)</f>
        <v>0</v>
      </c>
      <c r="AJ41" s="240" t="b">
        <f t="shared" ca="1" si="2"/>
        <v>1</v>
      </c>
      <c r="AK41" s="240">
        <f t="shared" ca="1" si="6"/>
        <v>63801.225248500457</v>
      </c>
      <c r="AL41" s="240">
        <f t="shared" ca="1" si="7"/>
        <v>76363.675936010943</v>
      </c>
      <c r="AM41" s="240">
        <f t="shared" ca="1" si="8"/>
        <v>63801.225248500457</v>
      </c>
      <c r="AN41" s="240">
        <f t="shared" ca="1" si="23"/>
        <v>1467428.1817155108</v>
      </c>
    </row>
    <row r="42" spans="9:40">
      <c r="I42" s="217">
        <f t="shared" si="9"/>
        <v>62.91666666666675</v>
      </c>
      <c r="J42" s="216">
        <f t="shared" ca="1" si="3"/>
        <v>62856.639291942876</v>
      </c>
      <c r="K42" s="216">
        <f t="shared" ca="1" si="10"/>
        <v>1508559.3430066281</v>
      </c>
      <c r="M42" s="217">
        <f t="shared" si="11"/>
        <v>62.91666666666675</v>
      </c>
      <c r="N42" s="217">
        <f t="shared" ca="1" si="24"/>
        <v>0</v>
      </c>
      <c r="O42" s="216">
        <f t="shared" ca="1" si="12"/>
        <v>76363.675936010943</v>
      </c>
      <c r="P42" s="216">
        <f t="shared" ca="1" si="13"/>
        <v>1658434.8735282926</v>
      </c>
      <c r="R42" s="217">
        <f t="shared" si="14"/>
        <v>62.91666666666675</v>
      </c>
      <c r="S42" s="240">
        <f t="shared" ca="1" si="4"/>
        <v>62856.639291942876</v>
      </c>
      <c r="T42" s="240">
        <f t="shared" ca="1" si="15"/>
        <v>1508559.3430066281</v>
      </c>
      <c r="V42" s="217">
        <f t="shared" si="16"/>
        <v>62.91666666666675</v>
      </c>
      <c r="W42" s="217">
        <f t="shared" ca="1" si="17"/>
        <v>0</v>
      </c>
      <c r="X42" s="240">
        <f t="shared" ca="1" si="18"/>
        <v>76363.675936010943</v>
      </c>
      <c r="Y42" s="240">
        <f t="shared" ca="1" si="19"/>
        <v>1631425.9765929279</v>
      </c>
      <c r="AA42" s="217">
        <f t="shared" si="20"/>
        <v>62.91666666666675</v>
      </c>
      <c r="AB42" s="216">
        <f t="shared" ca="1" si="5"/>
        <v>62856.639291942876</v>
      </c>
      <c r="AC42" s="240">
        <f t="shared" ca="1" si="21"/>
        <v>1508559.3430066281</v>
      </c>
      <c r="AD42" s="216"/>
      <c r="AF42" s="210">
        <f>ROW()</f>
        <v>42</v>
      </c>
      <c r="AG42" s="217">
        <f t="shared" si="22"/>
        <v>62.91666666666675</v>
      </c>
      <c r="AH42" s="217">
        <f t="shared" ca="1" si="25"/>
        <v>0</v>
      </c>
      <c r="AI42" s="217">
        <f ca="1">IF(AH41&lt;&gt;0,FINANCIAMIENTO!$F$5,0)</f>
        <v>0</v>
      </c>
      <c r="AJ42" s="240" t="b">
        <f t="shared" ca="1" si="2"/>
        <v>1</v>
      </c>
      <c r="AK42" s="240">
        <f t="shared" ca="1" si="6"/>
        <v>63801.225248500457</v>
      </c>
      <c r="AL42" s="240">
        <f t="shared" ca="1" si="7"/>
        <v>76363.675936010943</v>
      </c>
      <c r="AM42" s="240">
        <f t="shared" ca="1" si="8"/>
        <v>63801.225248500457</v>
      </c>
      <c r="AN42" s="240">
        <f t="shared" ca="1" si="23"/>
        <v>1531229.4069640113</v>
      </c>
    </row>
    <row r="43" spans="9:40">
      <c r="I43" s="217">
        <f t="shared" si="9"/>
        <v>63.000000000000085</v>
      </c>
      <c r="J43" s="216">
        <f t="shared" ca="1" si="3"/>
        <v>62856.639291942876</v>
      </c>
      <c r="K43" s="216">
        <f t="shared" ca="1" si="10"/>
        <v>1571415.9822985709</v>
      </c>
      <c r="M43" s="217">
        <f t="shared" si="11"/>
        <v>63.000000000000085</v>
      </c>
      <c r="N43" s="217">
        <f t="shared" ca="1" si="24"/>
        <v>0</v>
      </c>
      <c r="O43" s="216">
        <f t="shared" ca="1" si="12"/>
        <v>76363.675936010943</v>
      </c>
      <c r="P43" s="216">
        <f t="shared" ca="1" si="13"/>
        <v>1734798.5494643035</v>
      </c>
      <c r="R43" s="217">
        <f t="shared" si="14"/>
        <v>63.000000000000085</v>
      </c>
      <c r="S43" s="240">
        <f t="shared" ca="1" si="4"/>
        <v>62856.639291942876</v>
      </c>
      <c r="T43" s="240">
        <f t="shared" ca="1" si="15"/>
        <v>1571415.9822985709</v>
      </c>
      <c r="V43" s="217">
        <f t="shared" si="16"/>
        <v>63.000000000000085</v>
      </c>
      <c r="W43" s="217">
        <f t="shared" ca="1" si="17"/>
        <v>0</v>
      </c>
      <c r="X43" s="240">
        <f t="shared" ca="1" si="18"/>
        <v>76363.675936010943</v>
      </c>
      <c r="Y43" s="240">
        <f t="shared" ca="1" si="19"/>
        <v>1707789.6525289388</v>
      </c>
      <c r="AA43" s="217">
        <f t="shared" si="20"/>
        <v>63.000000000000085</v>
      </c>
      <c r="AB43" s="216">
        <f t="shared" ca="1" si="5"/>
        <v>62856.639291942876</v>
      </c>
      <c r="AC43" s="240">
        <f t="shared" ca="1" si="21"/>
        <v>1571415.9822985709</v>
      </c>
      <c r="AD43" s="216"/>
      <c r="AF43" s="210">
        <f>ROW()</f>
        <v>43</v>
      </c>
      <c r="AG43" s="217">
        <f t="shared" si="22"/>
        <v>63.000000000000085</v>
      </c>
      <c r="AH43" s="217">
        <f t="shared" ca="1" si="25"/>
        <v>0</v>
      </c>
      <c r="AI43" s="217">
        <f ca="1">IF(AH42&lt;&gt;0,FINANCIAMIENTO!$F$5,0)</f>
        <v>0</v>
      </c>
      <c r="AJ43" s="240" t="b">
        <f t="shared" ca="1" si="2"/>
        <v>1</v>
      </c>
      <c r="AK43" s="240">
        <f t="shared" ca="1" si="6"/>
        <v>63801.225248500457</v>
      </c>
      <c r="AL43" s="240">
        <f t="shared" ca="1" si="7"/>
        <v>76363.675936010943</v>
      </c>
      <c r="AM43" s="240">
        <f t="shared" ca="1" si="8"/>
        <v>63801.225248500457</v>
      </c>
      <c r="AN43" s="240">
        <f t="shared" ca="1" si="23"/>
        <v>1595030.6322125117</v>
      </c>
    </row>
    <row r="44" spans="9:40">
      <c r="I44" s="217">
        <f t="shared" si="9"/>
        <v>63.083333333333421</v>
      </c>
      <c r="J44" s="216">
        <f t="shared" ca="1" si="3"/>
        <v>62856.639291942876</v>
      </c>
      <c r="K44" s="216">
        <f t="shared" ca="1" si="10"/>
        <v>1634272.6215905137</v>
      </c>
      <c r="M44" s="217">
        <f t="shared" si="11"/>
        <v>63.083333333333421</v>
      </c>
      <c r="N44" s="217">
        <f t="shared" ca="1" si="24"/>
        <v>0</v>
      </c>
      <c r="O44" s="216">
        <f t="shared" ca="1" si="12"/>
        <v>76363.675936010943</v>
      </c>
      <c r="P44" s="216">
        <f t="shared" ca="1" si="13"/>
        <v>1811162.2254003144</v>
      </c>
      <c r="R44" s="217">
        <f t="shared" si="14"/>
        <v>63.083333333333421</v>
      </c>
      <c r="S44" s="240">
        <f t="shared" ca="1" si="4"/>
        <v>62856.639291942876</v>
      </c>
      <c r="T44" s="240">
        <f t="shared" ca="1" si="15"/>
        <v>1634272.6215905137</v>
      </c>
      <c r="V44" s="217">
        <f t="shared" si="16"/>
        <v>63.083333333333421</v>
      </c>
      <c r="W44" s="217">
        <f t="shared" ca="1" si="17"/>
        <v>0</v>
      </c>
      <c r="X44" s="240">
        <f t="shared" ca="1" si="18"/>
        <v>76363.675936010943</v>
      </c>
      <c r="Y44" s="240">
        <f t="shared" ca="1" si="19"/>
        <v>1784153.3284649497</v>
      </c>
      <c r="AA44" s="217">
        <f t="shared" si="20"/>
        <v>63.083333333333421</v>
      </c>
      <c r="AB44" s="216">
        <f t="shared" ca="1" si="5"/>
        <v>62856.639291942876</v>
      </c>
      <c r="AC44" s="240">
        <f t="shared" ca="1" si="21"/>
        <v>1634272.6215905137</v>
      </c>
      <c r="AD44" s="216"/>
      <c r="AF44" s="210">
        <f>ROW()</f>
        <v>44</v>
      </c>
      <c r="AG44" s="217">
        <f t="shared" si="22"/>
        <v>63.083333333333421</v>
      </c>
      <c r="AH44" s="217">
        <f t="shared" ca="1" si="25"/>
        <v>0</v>
      </c>
      <c r="AI44" s="217">
        <f ca="1">IF(AH43&lt;&gt;0,FINANCIAMIENTO!$F$5,0)</f>
        <v>0</v>
      </c>
      <c r="AJ44" s="240" t="b">
        <f t="shared" ca="1" si="2"/>
        <v>1</v>
      </c>
      <c r="AK44" s="240">
        <f t="shared" ca="1" si="6"/>
        <v>63801.225248500457</v>
      </c>
      <c r="AL44" s="240">
        <f t="shared" ca="1" si="7"/>
        <v>76363.675936010943</v>
      </c>
      <c r="AM44" s="240">
        <f t="shared" ca="1" si="8"/>
        <v>63801.225248500457</v>
      </c>
      <c r="AN44" s="240">
        <f t="shared" ca="1" si="23"/>
        <v>1658831.8574610122</v>
      </c>
    </row>
    <row r="45" spans="9:40">
      <c r="I45" s="217">
        <f t="shared" si="9"/>
        <v>63.166666666666757</v>
      </c>
      <c r="J45" s="216">
        <f t="shared" ca="1" si="3"/>
        <v>62856.639291942876</v>
      </c>
      <c r="K45" s="216">
        <f t="shared" ca="1" si="10"/>
        <v>1697129.2608824566</v>
      </c>
      <c r="M45" s="217">
        <f t="shared" si="11"/>
        <v>63.166666666666757</v>
      </c>
      <c r="N45" s="217">
        <f t="shared" ca="1" si="24"/>
        <v>0</v>
      </c>
      <c r="O45" s="216">
        <f t="shared" ca="1" si="12"/>
        <v>76363.675936010943</v>
      </c>
      <c r="P45" s="216">
        <f t="shared" ca="1" si="13"/>
        <v>1887525.9013363253</v>
      </c>
      <c r="R45" s="217">
        <f t="shared" si="14"/>
        <v>63.166666666666757</v>
      </c>
      <c r="S45" s="240">
        <f t="shared" ca="1" si="4"/>
        <v>62856.639291942876</v>
      </c>
      <c r="T45" s="240">
        <f t="shared" ca="1" si="15"/>
        <v>1697129.2608824566</v>
      </c>
      <c r="V45" s="217">
        <f t="shared" si="16"/>
        <v>63.166666666666757</v>
      </c>
      <c r="W45" s="217">
        <f t="shared" ca="1" si="17"/>
        <v>0</v>
      </c>
      <c r="X45" s="240">
        <f t="shared" ca="1" si="18"/>
        <v>76363.675936010943</v>
      </c>
      <c r="Y45" s="240">
        <f t="shared" ca="1" si="19"/>
        <v>1860517.0044009606</v>
      </c>
      <c r="AA45" s="217">
        <f t="shared" si="20"/>
        <v>63.166666666666757</v>
      </c>
      <c r="AB45" s="216">
        <f t="shared" ca="1" si="5"/>
        <v>62856.639291942876</v>
      </c>
      <c r="AC45" s="240">
        <f t="shared" ca="1" si="21"/>
        <v>1697129.2608824566</v>
      </c>
      <c r="AD45" s="216"/>
      <c r="AF45" s="210">
        <f>ROW()</f>
        <v>45</v>
      </c>
      <c r="AG45" s="217">
        <f t="shared" si="22"/>
        <v>63.166666666666757</v>
      </c>
      <c r="AH45" s="217">
        <f t="shared" ca="1" si="25"/>
        <v>0</v>
      </c>
      <c r="AI45" s="217">
        <f ca="1">IF(AH44&lt;&gt;0,FINANCIAMIENTO!$F$5,0)</f>
        <v>0</v>
      </c>
      <c r="AJ45" s="240" t="b">
        <f t="shared" ca="1" si="2"/>
        <v>1</v>
      </c>
      <c r="AK45" s="240">
        <f t="shared" ca="1" si="6"/>
        <v>63801.225248500457</v>
      </c>
      <c r="AL45" s="240">
        <f t="shared" ca="1" si="7"/>
        <v>76363.675936010943</v>
      </c>
      <c r="AM45" s="240">
        <f t="shared" ca="1" si="8"/>
        <v>63801.225248500457</v>
      </c>
      <c r="AN45" s="240">
        <f t="shared" ca="1" si="23"/>
        <v>1722633.0827095127</v>
      </c>
    </row>
    <row r="46" spans="9:40">
      <c r="I46" s="217">
        <f t="shared" si="9"/>
        <v>63.250000000000092</v>
      </c>
      <c r="J46" s="216">
        <f t="shared" ca="1" si="3"/>
        <v>62856.639291942876</v>
      </c>
      <c r="K46" s="216">
        <f t="shared" ca="1" si="10"/>
        <v>1759985.9001743994</v>
      </c>
      <c r="M46" s="217">
        <f t="shared" si="11"/>
        <v>63.250000000000092</v>
      </c>
      <c r="N46" s="217">
        <f t="shared" ca="1" si="24"/>
        <v>0</v>
      </c>
      <c r="O46" s="216">
        <f t="shared" ca="1" si="12"/>
        <v>76363.675936010943</v>
      </c>
      <c r="P46" s="216">
        <f t="shared" ca="1" si="13"/>
        <v>1963889.5772723362</v>
      </c>
      <c r="R46" s="217">
        <f t="shared" si="14"/>
        <v>63.250000000000092</v>
      </c>
      <c r="S46" s="240">
        <f t="shared" ca="1" si="4"/>
        <v>62856.639291942876</v>
      </c>
      <c r="T46" s="240">
        <f t="shared" ca="1" si="15"/>
        <v>1759985.9001743994</v>
      </c>
      <c r="V46" s="217">
        <f t="shared" si="16"/>
        <v>63.250000000000092</v>
      </c>
      <c r="W46" s="217">
        <f t="shared" ca="1" si="17"/>
        <v>0</v>
      </c>
      <c r="X46" s="240">
        <f t="shared" ca="1" si="18"/>
        <v>76363.675936010943</v>
      </c>
      <c r="Y46" s="240">
        <f t="shared" ca="1" si="19"/>
        <v>1936880.6803369715</v>
      </c>
      <c r="AA46" s="217">
        <f t="shared" si="20"/>
        <v>63.250000000000092</v>
      </c>
      <c r="AB46" s="216">
        <f t="shared" ca="1" si="5"/>
        <v>62856.639291942876</v>
      </c>
      <c r="AC46" s="240">
        <f t="shared" ca="1" si="21"/>
        <v>1759985.9001743994</v>
      </c>
      <c r="AD46" s="216"/>
      <c r="AF46" s="210">
        <f>ROW()</f>
        <v>46</v>
      </c>
      <c r="AG46" s="217">
        <f t="shared" si="22"/>
        <v>63.250000000000092</v>
      </c>
      <c r="AH46" s="217">
        <f t="shared" ca="1" si="25"/>
        <v>0</v>
      </c>
      <c r="AI46" s="217">
        <f ca="1">IF(AH45&lt;&gt;0,FINANCIAMIENTO!$F$5,0)</f>
        <v>0</v>
      </c>
      <c r="AJ46" s="240" t="b">
        <f t="shared" ca="1" si="2"/>
        <v>1</v>
      </c>
      <c r="AK46" s="240">
        <f t="shared" ca="1" si="6"/>
        <v>63801.225248500457</v>
      </c>
      <c r="AL46" s="240">
        <f t="shared" ca="1" si="7"/>
        <v>76363.675936010943</v>
      </c>
      <c r="AM46" s="240">
        <f t="shared" ca="1" si="8"/>
        <v>63801.225248500457</v>
      </c>
      <c r="AN46" s="240">
        <f t="shared" ca="1" si="23"/>
        <v>1786434.3079580131</v>
      </c>
    </row>
    <row r="47" spans="9:40">
      <c r="I47" s="217">
        <f t="shared" si="9"/>
        <v>63.333333333333428</v>
      </c>
      <c r="J47" s="216">
        <f t="shared" ca="1" si="3"/>
        <v>62856.639291942876</v>
      </c>
      <c r="K47" s="216">
        <f t="shared" ca="1" si="10"/>
        <v>1822842.5394663422</v>
      </c>
      <c r="M47" s="217">
        <f t="shared" si="11"/>
        <v>63.333333333333428</v>
      </c>
      <c r="N47" s="217">
        <f t="shared" ca="1" si="24"/>
        <v>0</v>
      </c>
      <c r="O47" s="216">
        <f t="shared" ca="1" si="12"/>
        <v>76363.675936010943</v>
      </c>
      <c r="P47" s="216">
        <f t="shared" ca="1" si="13"/>
        <v>2040253.2532083471</v>
      </c>
      <c r="R47" s="217">
        <f t="shared" si="14"/>
        <v>63.333333333333428</v>
      </c>
      <c r="S47" s="240">
        <f t="shared" ca="1" si="4"/>
        <v>62856.639291942876</v>
      </c>
      <c r="T47" s="240">
        <f t="shared" ca="1" si="15"/>
        <v>1822842.5394663422</v>
      </c>
      <c r="V47" s="217">
        <f t="shared" si="16"/>
        <v>63.333333333333428</v>
      </c>
      <c r="W47" s="217">
        <f t="shared" ca="1" si="17"/>
        <v>0</v>
      </c>
      <c r="X47" s="240">
        <f t="shared" ca="1" si="18"/>
        <v>76363.675936010943</v>
      </c>
      <c r="Y47" s="240">
        <f t="shared" ca="1" si="19"/>
        <v>2013244.3562729824</v>
      </c>
      <c r="AA47" s="217">
        <f t="shared" si="20"/>
        <v>63.333333333333428</v>
      </c>
      <c r="AB47" s="216">
        <f t="shared" ca="1" si="5"/>
        <v>62856.639291942876</v>
      </c>
      <c r="AC47" s="240">
        <f t="shared" ca="1" si="21"/>
        <v>1822842.5394663422</v>
      </c>
      <c r="AD47" s="216"/>
      <c r="AF47" s="210">
        <f>ROW()</f>
        <v>47</v>
      </c>
      <c r="AG47" s="217">
        <f t="shared" si="22"/>
        <v>63.333333333333428</v>
      </c>
      <c r="AH47" s="217">
        <f t="shared" ca="1" si="25"/>
        <v>0</v>
      </c>
      <c r="AI47" s="217">
        <f ca="1">IF(AH46&lt;&gt;0,FINANCIAMIENTO!$F$5,0)</f>
        <v>0</v>
      </c>
      <c r="AJ47" s="240" t="b">
        <f t="shared" ca="1" si="2"/>
        <v>1</v>
      </c>
      <c r="AK47" s="240">
        <f t="shared" ca="1" si="6"/>
        <v>63801.225248500457</v>
      </c>
      <c r="AL47" s="240">
        <f t="shared" ca="1" si="7"/>
        <v>76363.675936010943</v>
      </c>
      <c r="AM47" s="240">
        <f t="shared" ca="1" si="8"/>
        <v>63801.225248500457</v>
      </c>
      <c r="AN47" s="240">
        <f t="shared" ca="1" si="23"/>
        <v>1850235.5332065136</v>
      </c>
    </row>
    <row r="48" spans="9:40">
      <c r="I48" s="217">
        <f t="shared" si="9"/>
        <v>63.416666666666764</v>
      </c>
      <c r="J48" s="216">
        <f t="shared" ca="1" si="3"/>
        <v>62856.639291942876</v>
      </c>
      <c r="K48" s="216">
        <f t="shared" ca="1" si="10"/>
        <v>1885699.178758285</v>
      </c>
      <c r="M48" s="217">
        <f t="shared" si="11"/>
        <v>63.416666666666764</v>
      </c>
      <c r="N48" s="217">
        <f t="shared" ca="1" si="24"/>
        <v>0</v>
      </c>
      <c r="O48" s="216">
        <f t="shared" ca="1" si="12"/>
        <v>76363.675936010943</v>
      </c>
      <c r="P48" s="216">
        <f t="shared" ca="1" si="13"/>
        <v>2116616.9291443583</v>
      </c>
      <c r="R48" s="217">
        <f t="shared" si="14"/>
        <v>63.416666666666764</v>
      </c>
      <c r="S48" s="240">
        <f t="shared" ca="1" si="4"/>
        <v>62856.639291942876</v>
      </c>
      <c r="T48" s="240">
        <f t="shared" ca="1" si="15"/>
        <v>1885699.178758285</v>
      </c>
      <c r="V48" s="217">
        <f t="shared" si="16"/>
        <v>63.416666666666764</v>
      </c>
      <c r="W48" s="217">
        <f t="shared" ca="1" si="17"/>
        <v>0</v>
      </c>
      <c r="X48" s="240">
        <f t="shared" ca="1" si="18"/>
        <v>76363.675936010943</v>
      </c>
      <c r="Y48" s="240">
        <f t="shared" ca="1" si="19"/>
        <v>2089608.0322089933</v>
      </c>
      <c r="AA48" s="217">
        <f t="shared" si="20"/>
        <v>63.416666666666764</v>
      </c>
      <c r="AB48" s="216">
        <f t="shared" ca="1" si="5"/>
        <v>62856.639291942876</v>
      </c>
      <c r="AC48" s="240">
        <f t="shared" ca="1" si="21"/>
        <v>1885699.178758285</v>
      </c>
      <c r="AD48" s="216"/>
      <c r="AF48" s="210">
        <f>ROW()</f>
        <v>48</v>
      </c>
      <c r="AG48" s="217">
        <f t="shared" si="22"/>
        <v>63.416666666666764</v>
      </c>
      <c r="AH48" s="217">
        <f t="shared" ca="1" si="25"/>
        <v>0</v>
      </c>
      <c r="AI48" s="217">
        <f ca="1">IF(AH47&lt;&gt;0,FINANCIAMIENTO!$F$5,0)</f>
        <v>0</v>
      </c>
      <c r="AJ48" s="240" t="b">
        <f t="shared" ca="1" si="2"/>
        <v>1</v>
      </c>
      <c r="AK48" s="240">
        <f t="shared" ca="1" si="6"/>
        <v>63801.225248500457</v>
      </c>
      <c r="AL48" s="240">
        <f t="shared" ca="1" si="7"/>
        <v>76363.675936010943</v>
      </c>
      <c r="AM48" s="240">
        <f t="shared" ca="1" si="8"/>
        <v>63801.225248500457</v>
      </c>
      <c r="AN48" s="240">
        <f t="shared" ca="1" si="23"/>
        <v>1914036.7584550141</v>
      </c>
    </row>
    <row r="49" spans="9:40">
      <c r="I49" s="217">
        <f t="shared" si="9"/>
        <v>63.500000000000099</v>
      </c>
      <c r="J49" s="216">
        <f t="shared" ca="1" si="3"/>
        <v>62856.639291942876</v>
      </c>
      <c r="K49" s="216">
        <f t="shared" ca="1" si="10"/>
        <v>1948555.8180502278</v>
      </c>
      <c r="M49" s="217">
        <f t="shared" si="11"/>
        <v>63.500000000000099</v>
      </c>
      <c r="N49" s="217">
        <f t="shared" ca="1" si="24"/>
        <v>0</v>
      </c>
      <c r="O49" s="216">
        <f t="shared" ca="1" si="12"/>
        <v>76363.675936010943</v>
      </c>
      <c r="P49" s="216">
        <f t="shared" ca="1" si="13"/>
        <v>2192980.6050803694</v>
      </c>
      <c r="R49" s="217">
        <f t="shared" si="14"/>
        <v>63.500000000000099</v>
      </c>
      <c r="S49" s="240">
        <f t="shared" ca="1" si="4"/>
        <v>62856.639291942876</v>
      </c>
      <c r="T49" s="240">
        <f t="shared" ca="1" si="15"/>
        <v>1948555.8180502278</v>
      </c>
      <c r="V49" s="217">
        <f t="shared" si="16"/>
        <v>63.500000000000099</v>
      </c>
      <c r="W49" s="217">
        <f t="shared" ca="1" si="17"/>
        <v>0</v>
      </c>
      <c r="X49" s="240">
        <f t="shared" ca="1" si="18"/>
        <v>76363.675936010943</v>
      </c>
      <c r="Y49" s="240">
        <f t="shared" ca="1" si="19"/>
        <v>2165971.7081450042</v>
      </c>
      <c r="AA49" s="217">
        <f t="shared" si="20"/>
        <v>63.500000000000099</v>
      </c>
      <c r="AB49" s="216">
        <f t="shared" ca="1" si="5"/>
        <v>62856.639291942876</v>
      </c>
      <c r="AC49" s="240">
        <f t="shared" ca="1" si="21"/>
        <v>1948555.8180502278</v>
      </c>
      <c r="AD49" s="216"/>
      <c r="AF49" s="210">
        <f>ROW()</f>
        <v>49</v>
      </c>
      <c r="AG49" s="217">
        <f t="shared" si="22"/>
        <v>63.500000000000099</v>
      </c>
      <c r="AH49" s="217">
        <f t="shared" ca="1" si="25"/>
        <v>0</v>
      </c>
      <c r="AI49" s="217">
        <f ca="1">IF(AH48&lt;&gt;0,FINANCIAMIENTO!$F$5,0)</f>
        <v>0</v>
      </c>
      <c r="AJ49" s="240" t="b">
        <f t="shared" ca="1" si="2"/>
        <v>1</v>
      </c>
      <c r="AK49" s="240">
        <f t="shared" ca="1" si="6"/>
        <v>63801.225248500457</v>
      </c>
      <c r="AL49" s="240">
        <f t="shared" ca="1" si="7"/>
        <v>76363.675936010943</v>
      </c>
      <c r="AM49" s="240">
        <f t="shared" ca="1" si="8"/>
        <v>63801.225248500457</v>
      </c>
      <c r="AN49" s="240">
        <f t="shared" ca="1" si="23"/>
        <v>1977837.9837035146</v>
      </c>
    </row>
    <row r="50" spans="9:40">
      <c r="I50" s="217">
        <f t="shared" si="9"/>
        <v>63.583333333333435</v>
      </c>
      <c r="J50" s="216">
        <f t="shared" ca="1" si="3"/>
        <v>62856.639291942876</v>
      </c>
      <c r="K50" s="216">
        <f t="shared" ca="1" si="10"/>
        <v>2011412.4573421706</v>
      </c>
      <c r="M50" s="217">
        <f t="shared" si="11"/>
        <v>63.583333333333435</v>
      </c>
      <c r="N50" s="217">
        <f t="shared" ca="1" si="24"/>
        <v>0</v>
      </c>
      <c r="O50" s="216">
        <f t="shared" ca="1" si="12"/>
        <v>76363.675936010943</v>
      </c>
      <c r="P50" s="216">
        <f t="shared" ca="1" si="13"/>
        <v>2269344.2810163805</v>
      </c>
      <c r="R50" s="217">
        <f t="shared" si="14"/>
        <v>63.583333333333435</v>
      </c>
      <c r="S50" s="240">
        <f t="shared" ca="1" si="4"/>
        <v>62856.639291942876</v>
      </c>
      <c r="T50" s="240">
        <f t="shared" ca="1" si="15"/>
        <v>2011412.4573421706</v>
      </c>
      <c r="V50" s="217">
        <f t="shared" si="16"/>
        <v>63.583333333333435</v>
      </c>
      <c r="W50" s="217">
        <f t="shared" ca="1" si="17"/>
        <v>0</v>
      </c>
      <c r="X50" s="240">
        <f t="shared" ca="1" si="18"/>
        <v>76363.675936010943</v>
      </c>
      <c r="Y50" s="240">
        <f t="shared" ca="1" si="19"/>
        <v>2242335.3840810154</v>
      </c>
      <c r="AA50" s="217">
        <f t="shared" si="20"/>
        <v>63.583333333333435</v>
      </c>
      <c r="AB50" s="216">
        <f t="shared" ca="1" si="5"/>
        <v>62856.639291942876</v>
      </c>
      <c r="AC50" s="240">
        <f t="shared" ca="1" si="21"/>
        <v>2011412.4573421706</v>
      </c>
      <c r="AD50" s="216"/>
      <c r="AF50" s="210">
        <f>ROW()</f>
        <v>50</v>
      </c>
      <c r="AG50" s="217">
        <f t="shared" si="22"/>
        <v>63.583333333333435</v>
      </c>
      <c r="AH50" s="217">
        <f t="shared" ca="1" si="25"/>
        <v>0</v>
      </c>
      <c r="AI50" s="217">
        <f ca="1">IF(AH49&lt;&gt;0,FINANCIAMIENTO!$F$5,0)</f>
        <v>0</v>
      </c>
      <c r="AJ50" s="240" t="b">
        <f t="shared" ca="1" si="2"/>
        <v>1</v>
      </c>
      <c r="AK50" s="240">
        <f t="shared" ca="1" si="6"/>
        <v>63801.225248500457</v>
      </c>
      <c r="AL50" s="240">
        <f t="shared" ca="1" si="7"/>
        <v>76363.675936010943</v>
      </c>
      <c r="AM50" s="240">
        <f t="shared" ca="1" si="8"/>
        <v>63801.225248500457</v>
      </c>
      <c r="AN50" s="240">
        <f t="shared" ca="1" si="23"/>
        <v>2041639.208952015</v>
      </c>
    </row>
    <row r="51" spans="9:40">
      <c r="I51" s="217">
        <f t="shared" si="9"/>
        <v>63.666666666666771</v>
      </c>
      <c r="J51" s="216">
        <f t="shared" ca="1" si="3"/>
        <v>62856.639291942876</v>
      </c>
      <c r="K51" s="216">
        <f t="shared" ca="1" si="10"/>
        <v>2074269.0966341135</v>
      </c>
      <c r="M51" s="217">
        <f t="shared" si="11"/>
        <v>63.666666666666771</v>
      </c>
      <c r="N51" s="217">
        <f t="shared" ca="1" si="24"/>
        <v>0</v>
      </c>
      <c r="O51" s="216">
        <f t="shared" ca="1" si="12"/>
        <v>76363.675936010943</v>
      </c>
      <c r="P51" s="216">
        <f t="shared" ca="1" si="13"/>
        <v>2345707.9569523917</v>
      </c>
      <c r="R51" s="217">
        <f t="shared" si="14"/>
        <v>63.666666666666771</v>
      </c>
      <c r="S51" s="240">
        <f t="shared" ca="1" si="4"/>
        <v>62856.639291942876</v>
      </c>
      <c r="T51" s="240">
        <f t="shared" ca="1" si="15"/>
        <v>2074269.0966341135</v>
      </c>
      <c r="V51" s="217">
        <f t="shared" si="16"/>
        <v>63.666666666666771</v>
      </c>
      <c r="W51" s="217">
        <f t="shared" ca="1" si="17"/>
        <v>0</v>
      </c>
      <c r="X51" s="240">
        <f t="shared" ca="1" si="18"/>
        <v>76363.675936010943</v>
      </c>
      <c r="Y51" s="240">
        <f t="shared" ca="1" si="19"/>
        <v>2318699.0600170265</v>
      </c>
      <c r="AA51" s="217">
        <f t="shared" si="20"/>
        <v>63.666666666666771</v>
      </c>
      <c r="AB51" s="216">
        <f t="shared" ca="1" si="5"/>
        <v>62856.639291942876</v>
      </c>
      <c r="AC51" s="240">
        <f t="shared" ca="1" si="21"/>
        <v>2074269.0966341135</v>
      </c>
      <c r="AD51" s="216"/>
      <c r="AF51" s="210">
        <f>ROW()</f>
        <v>51</v>
      </c>
      <c r="AG51" s="217">
        <f t="shared" si="22"/>
        <v>63.666666666666771</v>
      </c>
      <c r="AH51" s="217">
        <f t="shared" ca="1" si="25"/>
        <v>0</v>
      </c>
      <c r="AI51" s="217">
        <f ca="1">IF(AH50&lt;&gt;0,FINANCIAMIENTO!$F$5,0)</f>
        <v>0</v>
      </c>
      <c r="AJ51" s="240" t="b">
        <f t="shared" ca="1" si="2"/>
        <v>1</v>
      </c>
      <c r="AK51" s="240">
        <f t="shared" ca="1" si="6"/>
        <v>63801.225248500457</v>
      </c>
      <c r="AL51" s="240">
        <f t="shared" ca="1" si="7"/>
        <v>76363.675936010943</v>
      </c>
      <c r="AM51" s="240">
        <f t="shared" ca="1" si="8"/>
        <v>63801.225248500457</v>
      </c>
      <c r="AN51" s="240">
        <f t="shared" ca="1" si="23"/>
        <v>2105440.4342005155</v>
      </c>
    </row>
    <row r="52" spans="9:40">
      <c r="I52" s="217">
        <f t="shared" si="9"/>
        <v>63.750000000000107</v>
      </c>
      <c r="J52" s="216">
        <f t="shared" ca="1" si="3"/>
        <v>62856.639291942876</v>
      </c>
      <c r="K52" s="216">
        <f t="shared" ca="1" si="10"/>
        <v>2137125.7359260563</v>
      </c>
      <c r="M52" s="217">
        <f t="shared" si="11"/>
        <v>63.750000000000107</v>
      </c>
      <c r="N52" s="217">
        <f t="shared" ca="1" si="24"/>
        <v>0</v>
      </c>
      <c r="O52" s="216">
        <f t="shared" ca="1" si="12"/>
        <v>76363.675936010943</v>
      </c>
      <c r="P52" s="216">
        <f t="shared" ca="1" si="13"/>
        <v>2422071.6328884028</v>
      </c>
      <c r="R52" s="217">
        <f t="shared" si="14"/>
        <v>63.750000000000107</v>
      </c>
      <c r="S52" s="240">
        <f t="shared" ca="1" si="4"/>
        <v>62856.639291942876</v>
      </c>
      <c r="T52" s="240">
        <f t="shared" ca="1" si="15"/>
        <v>2137125.7359260563</v>
      </c>
      <c r="V52" s="217">
        <f t="shared" si="16"/>
        <v>63.750000000000107</v>
      </c>
      <c r="W52" s="217">
        <f t="shared" ca="1" si="17"/>
        <v>0</v>
      </c>
      <c r="X52" s="240">
        <f t="shared" ca="1" si="18"/>
        <v>76363.675936010943</v>
      </c>
      <c r="Y52" s="240">
        <f t="shared" ca="1" si="19"/>
        <v>2395062.7359530376</v>
      </c>
      <c r="AA52" s="217">
        <f t="shared" si="20"/>
        <v>63.750000000000107</v>
      </c>
      <c r="AB52" s="216">
        <f t="shared" ca="1" si="5"/>
        <v>62856.639291942876</v>
      </c>
      <c r="AC52" s="240">
        <f t="shared" ca="1" si="21"/>
        <v>2137125.7359260563</v>
      </c>
      <c r="AD52" s="216"/>
      <c r="AF52" s="210">
        <f>ROW()</f>
        <v>52</v>
      </c>
      <c r="AG52" s="217">
        <f t="shared" si="22"/>
        <v>63.750000000000107</v>
      </c>
      <c r="AH52" s="217">
        <f t="shared" ca="1" si="25"/>
        <v>0</v>
      </c>
      <c r="AI52" s="217">
        <f ca="1">IF(AH51&lt;&gt;0,FINANCIAMIENTO!$F$5,0)</f>
        <v>0</v>
      </c>
      <c r="AJ52" s="240" t="b">
        <f t="shared" ca="1" si="2"/>
        <v>1</v>
      </c>
      <c r="AK52" s="240">
        <f t="shared" ca="1" si="6"/>
        <v>63801.225248500457</v>
      </c>
      <c r="AL52" s="240">
        <f t="shared" ca="1" si="7"/>
        <v>76363.675936010943</v>
      </c>
      <c r="AM52" s="240">
        <f t="shared" ca="1" si="8"/>
        <v>63801.225248500457</v>
      </c>
      <c r="AN52" s="240">
        <f t="shared" ca="1" si="23"/>
        <v>2169241.6594490157</v>
      </c>
    </row>
    <row r="53" spans="9:40">
      <c r="I53" s="217">
        <f t="shared" si="9"/>
        <v>63.833333333333442</v>
      </c>
      <c r="J53" s="216">
        <f t="shared" ca="1" si="3"/>
        <v>62856.639291942876</v>
      </c>
      <c r="K53" s="216">
        <f t="shared" ca="1" si="10"/>
        <v>2199982.3752179993</v>
      </c>
      <c r="M53" s="217">
        <f t="shared" si="11"/>
        <v>63.833333333333442</v>
      </c>
      <c r="N53" s="217">
        <f t="shared" ca="1" si="24"/>
        <v>0</v>
      </c>
      <c r="O53" s="216">
        <f t="shared" ca="1" si="12"/>
        <v>76363.675936010943</v>
      </c>
      <c r="P53" s="216">
        <f t="shared" ca="1" si="13"/>
        <v>2498435.3088244139</v>
      </c>
      <c r="R53" s="217">
        <f t="shared" si="14"/>
        <v>63.833333333333442</v>
      </c>
      <c r="S53" s="240">
        <f t="shared" ca="1" si="4"/>
        <v>62856.639291942876</v>
      </c>
      <c r="T53" s="240">
        <f t="shared" ca="1" si="15"/>
        <v>2199982.3752179993</v>
      </c>
      <c r="V53" s="217">
        <f t="shared" si="16"/>
        <v>63.833333333333442</v>
      </c>
      <c r="W53" s="217">
        <f t="shared" ca="1" si="17"/>
        <v>0</v>
      </c>
      <c r="X53" s="240">
        <f t="shared" ca="1" si="18"/>
        <v>76363.675936010943</v>
      </c>
      <c r="Y53" s="240">
        <f t="shared" ca="1" si="19"/>
        <v>2471426.4118890488</v>
      </c>
      <c r="AA53" s="217">
        <f t="shared" si="20"/>
        <v>63.833333333333442</v>
      </c>
      <c r="AB53" s="216">
        <f t="shared" ca="1" si="5"/>
        <v>62856.639291942876</v>
      </c>
      <c r="AC53" s="240">
        <f t="shared" ca="1" si="21"/>
        <v>2199982.3752179993</v>
      </c>
      <c r="AD53" s="216"/>
      <c r="AF53" s="210">
        <f>ROW()</f>
        <v>53</v>
      </c>
      <c r="AG53" s="217">
        <f t="shared" si="22"/>
        <v>63.833333333333442</v>
      </c>
      <c r="AH53" s="217">
        <f t="shared" ca="1" si="25"/>
        <v>0</v>
      </c>
      <c r="AI53" s="217">
        <f ca="1">IF(AH52&lt;&gt;0,FINANCIAMIENTO!$F$5,0)</f>
        <v>0</v>
      </c>
      <c r="AJ53" s="240" t="b">
        <f t="shared" ca="1" si="2"/>
        <v>1</v>
      </c>
      <c r="AK53" s="240">
        <f t="shared" ca="1" si="6"/>
        <v>63801.225248500457</v>
      </c>
      <c r="AL53" s="240">
        <f t="shared" ca="1" si="7"/>
        <v>76363.675936010943</v>
      </c>
      <c r="AM53" s="240">
        <f t="shared" ca="1" si="8"/>
        <v>63801.225248500457</v>
      </c>
      <c r="AN53" s="240">
        <f t="shared" ca="1" si="23"/>
        <v>2233042.884697516</v>
      </c>
    </row>
    <row r="54" spans="9:40">
      <c r="I54" s="217">
        <f t="shared" si="9"/>
        <v>63.916666666666778</v>
      </c>
      <c r="J54" s="216">
        <f t="shared" ca="1" si="3"/>
        <v>62856.639291942876</v>
      </c>
      <c r="K54" s="216">
        <f t="shared" ca="1" si="10"/>
        <v>2262839.0145099424</v>
      </c>
      <c r="M54" s="217">
        <f t="shared" si="11"/>
        <v>63.916666666666778</v>
      </c>
      <c r="N54" s="217">
        <f t="shared" ca="1" si="24"/>
        <v>0</v>
      </c>
      <c r="O54" s="216">
        <f t="shared" ca="1" si="12"/>
        <v>76363.675936010943</v>
      </c>
      <c r="P54" s="216">
        <f t="shared" ca="1" si="13"/>
        <v>2574798.9847604251</v>
      </c>
      <c r="R54" s="217">
        <f t="shared" si="14"/>
        <v>63.916666666666778</v>
      </c>
      <c r="S54" s="240">
        <f t="shared" ca="1" si="4"/>
        <v>62856.639291942876</v>
      </c>
      <c r="T54" s="240">
        <f t="shared" ca="1" si="15"/>
        <v>2262839.0145099424</v>
      </c>
      <c r="V54" s="217">
        <f t="shared" si="16"/>
        <v>63.916666666666778</v>
      </c>
      <c r="W54" s="217">
        <f t="shared" ca="1" si="17"/>
        <v>0</v>
      </c>
      <c r="X54" s="240">
        <f t="shared" ca="1" si="18"/>
        <v>76363.675936010943</v>
      </c>
      <c r="Y54" s="240">
        <f t="shared" ca="1" si="19"/>
        <v>2547790.0878250599</v>
      </c>
      <c r="AA54" s="217">
        <f t="shared" si="20"/>
        <v>63.916666666666778</v>
      </c>
      <c r="AB54" s="216">
        <f t="shared" ca="1" si="5"/>
        <v>62856.639291942876</v>
      </c>
      <c r="AC54" s="240">
        <f t="shared" ca="1" si="21"/>
        <v>2262839.0145099424</v>
      </c>
      <c r="AD54" s="216"/>
      <c r="AF54" s="210">
        <f>ROW()</f>
        <v>54</v>
      </c>
      <c r="AG54" s="217">
        <f t="shared" si="22"/>
        <v>63.916666666666778</v>
      </c>
      <c r="AH54" s="217">
        <f t="shared" ca="1" si="25"/>
        <v>0</v>
      </c>
      <c r="AI54" s="217">
        <f ca="1">IF(AH53&lt;&gt;0,FINANCIAMIENTO!$F$5,0)</f>
        <v>0</v>
      </c>
      <c r="AJ54" s="240" t="b">
        <f t="shared" ca="1" si="2"/>
        <v>1</v>
      </c>
      <c r="AK54" s="240">
        <f t="shared" ca="1" si="6"/>
        <v>63801.225248500457</v>
      </c>
      <c r="AL54" s="240">
        <f t="shared" ca="1" si="7"/>
        <v>76363.675936010943</v>
      </c>
      <c r="AM54" s="240">
        <f t="shared" ca="1" si="8"/>
        <v>63801.225248500457</v>
      </c>
      <c r="AN54" s="240">
        <f t="shared" ca="1" si="23"/>
        <v>2296844.1099460162</v>
      </c>
    </row>
    <row r="55" spans="9:40">
      <c r="I55" s="217">
        <f t="shared" si="9"/>
        <v>64.000000000000114</v>
      </c>
      <c r="J55" s="216">
        <f t="shared" ca="1" si="3"/>
        <v>62856.639291942876</v>
      </c>
      <c r="K55" s="216">
        <f t="shared" ca="1" si="10"/>
        <v>2325695.6538018854</v>
      </c>
      <c r="M55" s="217">
        <f t="shared" si="11"/>
        <v>64.000000000000114</v>
      </c>
      <c r="N55" s="217">
        <f t="shared" ca="1" si="24"/>
        <v>0</v>
      </c>
      <c r="O55" s="216">
        <f t="shared" ca="1" si="12"/>
        <v>76363.675936010943</v>
      </c>
      <c r="P55" s="216">
        <f t="shared" ca="1" si="13"/>
        <v>2651162.6606964362</v>
      </c>
      <c r="R55" s="217">
        <f t="shared" si="14"/>
        <v>64.000000000000114</v>
      </c>
      <c r="S55" s="240">
        <f t="shared" ca="1" si="4"/>
        <v>62856.639291942876</v>
      </c>
      <c r="T55" s="240">
        <f t="shared" ca="1" si="15"/>
        <v>2325695.6538018854</v>
      </c>
      <c r="V55" s="217">
        <f t="shared" si="16"/>
        <v>64.000000000000114</v>
      </c>
      <c r="W55" s="217">
        <f t="shared" ca="1" si="17"/>
        <v>0</v>
      </c>
      <c r="X55" s="240">
        <f t="shared" ca="1" si="18"/>
        <v>76363.675936010943</v>
      </c>
      <c r="Y55" s="240">
        <f t="shared" ca="1" si="19"/>
        <v>2624153.763761071</v>
      </c>
      <c r="AA55" s="217">
        <f t="shared" si="20"/>
        <v>64.000000000000114</v>
      </c>
      <c r="AB55" s="216">
        <f t="shared" ca="1" si="5"/>
        <v>62856.639291942876</v>
      </c>
      <c r="AC55" s="240">
        <f t="shared" ca="1" si="21"/>
        <v>2325695.6538018854</v>
      </c>
      <c r="AD55" s="216"/>
      <c r="AF55" s="210">
        <f>ROW()</f>
        <v>55</v>
      </c>
      <c r="AG55" s="217">
        <f t="shared" si="22"/>
        <v>64.000000000000114</v>
      </c>
      <c r="AH55" s="217">
        <f t="shared" ca="1" si="25"/>
        <v>0</v>
      </c>
      <c r="AI55" s="217">
        <f ca="1">IF(AH54&lt;&gt;0,FINANCIAMIENTO!$F$5,0)</f>
        <v>0</v>
      </c>
      <c r="AJ55" s="240" t="b">
        <f t="shared" ca="1" si="2"/>
        <v>1</v>
      </c>
      <c r="AK55" s="240">
        <f t="shared" ca="1" si="6"/>
        <v>63801.225248500457</v>
      </c>
      <c r="AL55" s="240">
        <f t="shared" ca="1" si="7"/>
        <v>76363.675936010943</v>
      </c>
      <c r="AM55" s="240">
        <f t="shared" ca="1" si="8"/>
        <v>63801.225248500457</v>
      </c>
      <c r="AN55" s="240">
        <f t="shared" ca="1" si="23"/>
        <v>2360645.3351945165</v>
      </c>
    </row>
    <row r="56" spans="9:40">
      <c r="I56" s="217">
        <f t="shared" si="9"/>
        <v>64.083333333333442</v>
      </c>
      <c r="J56" s="216">
        <f t="shared" ca="1" si="3"/>
        <v>62856.639291942876</v>
      </c>
      <c r="K56" s="216">
        <f t="shared" ca="1" si="10"/>
        <v>2388552.2930938285</v>
      </c>
      <c r="M56" s="217">
        <f t="shared" si="11"/>
        <v>64.083333333333442</v>
      </c>
      <c r="N56" s="217">
        <f t="shared" ca="1" si="24"/>
        <v>0</v>
      </c>
      <c r="O56" s="216">
        <f t="shared" ca="1" si="12"/>
        <v>76363.675936010943</v>
      </c>
      <c r="P56" s="216">
        <f t="shared" ca="1" si="13"/>
        <v>2727526.3366324473</v>
      </c>
      <c r="R56" s="217">
        <f t="shared" si="14"/>
        <v>64.083333333333442</v>
      </c>
      <c r="S56" s="240">
        <f t="shared" ca="1" si="4"/>
        <v>62856.639291942876</v>
      </c>
      <c r="T56" s="240">
        <f t="shared" ca="1" si="15"/>
        <v>2388552.2930938285</v>
      </c>
      <c r="V56" s="217">
        <f t="shared" si="16"/>
        <v>64.083333333333442</v>
      </c>
      <c r="W56" s="217">
        <f t="shared" ca="1" si="17"/>
        <v>0</v>
      </c>
      <c r="X56" s="240">
        <f t="shared" ca="1" si="18"/>
        <v>76363.675936010943</v>
      </c>
      <c r="Y56" s="240">
        <f t="shared" ca="1" si="19"/>
        <v>2700517.4396970822</v>
      </c>
      <c r="AA56" s="217">
        <f t="shared" si="20"/>
        <v>64.083333333333442</v>
      </c>
      <c r="AB56" s="216">
        <f t="shared" ca="1" si="5"/>
        <v>62856.639291942876</v>
      </c>
      <c r="AC56" s="240">
        <f t="shared" ca="1" si="21"/>
        <v>2388552.2930938285</v>
      </c>
      <c r="AD56" s="216"/>
      <c r="AF56" s="210">
        <f>ROW()</f>
        <v>56</v>
      </c>
      <c r="AG56" s="217">
        <f t="shared" si="22"/>
        <v>64.083333333333442</v>
      </c>
      <c r="AH56" s="217">
        <f t="shared" ca="1" si="25"/>
        <v>0</v>
      </c>
      <c r="AI56" s="217">
        <f ca="1">IF(AH55&lt;&gt;0,FINANCIAMIENTO!$F$5,0)</f>
        <v>0</v>
      </c>
      <c r="AJ56" s="240" t="b">
        <f t="shared" ca="1" si="2"/>
        <v>1</v>
      </c>
      <c r="AK56" s="240">
        <f t="shared" ca="1" si="6"/>
        <v>63801.225248500457</v>
      </c>
      <c r="AL56" s="240">
        <f t="shared" ca="1" si="7"/>
        <v>76363.675936010943</v>
      </c>
      <c r="AM56" s="240">
        <f t="shared" ca="1" si="8"/>
        <v>63801.225248500457</v>
      </c>
      <c r="AN56" s="240">
        <f t="shared" ca="1" si="23"/>
        <v>2424446.5604430167</v>
      </c>
    </row>
    <row r="57" spans="9:40">
      <c r="I57" s="217">
        <f t="shared" si="9"/>
        <v>64.166666666666771</v>
      </c>
      <c r="J57" s="216">
        <f t="shared" ca="1" si="3"/>
        <v>62856.639291942876</v>
      </c>
      <c r="K57" s="216">
        <f t="shared" ca="1" si="10"/>
        <v>2451408.9323857715</v>
      </c>
      <c r="M57" s="217">
        <f t="shared" si="11"/>
        <v>64.166666666666771</v>
      </c>
      <c r="N57" s="217">
        <f t="shared" ca="1" si="24"/>
        <v>0</v>
      </c>
      <c r="O57" s="216">
        <f t="shared" ca="1" si="12"/>
        <v>76363.675936010943</v>
      </c>
      <c r="P57" s="216">
        <f t="shared" ca="1" si="13"/>
        <v>2803890.0125684584</v>
      </c>
      <c r="R57" s="217">
        <f t="shared" si="14"/>
        <v>64.166666666666771</v>
      </c>
      <c r="S57" s="240">
        <f t="shared" ca="1" si="4"/>
        <v>62856.639291942876</v>
      </c>
      <c r="T57" s="240">
        <f t="shared" ca="1" si="15"/>
        <v>2451408.9323857715</v>
      </c>
      <c r="V57" s="217">
        <f t="shared" si="16"/>
        <v>64.166666666666771</v>
      </c>
      <c r="W57" s="217">
        <f t="shared" ca="1" si="17"/>
        <v>0</v>
      </c>
      <c r="X57" s="240">
        <f t="shared" ca="1" si="18"/>
        <v>76363.675936010943</v>
      </c>
      <c r="Y57" s="240">
        <f t="shared" ca="1" si="19"/>
        <v>2776881.1156330933</v>
      </c>
      <c r="AA57" s="217">
        <f t="shared" si="20"/>
        <v>64.166666666666771</v>
      </c>
      <c r="AB57" s="216">
        <f t="shared" ca="1" si="5"/>
        <v>62856.639291942876</v>
      </c>
      <c r="AC57" s="240">
        <f t="shared" ca="1" si="21"/>
        <v>2451408.9323857715</v>
      </c>
      <c r="AD57" s="216"/>
      <c r="AF57" s="210">
        <f>ROW()</f>
        <v>57</v>
      </c>
      <c r="AG57" s="217">
        <f t="shared" si="22"/>
        <v>64.166666666666771</v>
      </c>
      <c r="AH57" s="217">
        <f t="shared" ca="1" si="25"/>
        <v>0</v>
      </c>
      <c r="AI57" s="217">
        <f ca="1">IF(AH56&lt;&gt;0,FINANCIAMIENTO!$F$5,0)</f>
        <v>0</v>
      </c>
      <c r="AJ57" s="240" t="b">
        <f t="shared" ca="1" si="2"/>
        <v>1</v>
      </c>
      <c r="AK57" s="240">
        <f t="shared" ca="1" si="6"/>
        <v>63801.225248500457</v>
      </c>
      <c r="AL57" s="240">
        <f t="shared" ca="1" si="7"/>
        <v>76363.675936010943</v>
      </c>
      <c r="AM57" s="240">
        <f t="shared" ca="1" si="8"/>
        <v>63801.225248500457</v>
      </c>
      <c r="AN57" s="240">
        <f t="shared" ca="1" si="23"/>
        <v>2488247.7856915169</v>
      </c>
    </row>
    <row r="58" spans="9:40">
      <c r="I58" s="217">
        <f t="shared" si="9"/>
        <v>64.250000000000099</v>
      </c>
      <c r="J58" s="216">
        <f t="shared" ca="1" si="3"/>
        <v>62856.639291942876</v>
      </c>
      <c r="K58" s="216">
        <f t="shared" ca="1" si="10"/>
        <v>2514265.5716777146</v>
      </c>
      <c r="M58" s="217">
        <f t="shared" si="11"/>
        <v>64.250000000000099</v>
      </c>
      <c r="N58" s="217">
        <f t="shared" ca="1" si="24"/>
        <v>0</v>
      </c>
      <c r="O58" s="216">
        <f t="shared" ca="1" si="12"/>
        <v>76363.675936010943</v>
      </c>
      <c r="P58" s="216">
        <f t="shared" ca="1" si="13"/>
        <v>2880253.6885044696</v>
      </c>
      <c r="R58" s="217">
        <f t="shared" si="14"/>
        <v>64.250000000000099</v>
      </c>
      <c r="S58" s="240">
        <f t="shared" ca="1" si="4"/>
        <v>62856.639291942876</v>
      </c>
      <c r="T58" s="240">
        <f t="shared" ca="1" si="15"/>
        <v>2514265.5716777146</v>
      </c>
      <c r="V58" s="217">
        <f t="shared" si="16"/>
        <v>64.250000000000099</v>
      </c>
      <c r="W58" s="217">
        <f t="shared" ca="1" si="17"/>
        <v>0</v>
      </c>
      <c r="X58" s="240">
        <f t="shared" ca="1" si="18"/>
        <v>76363.675936010943</v>
      </c>
      <c r="Y58" s="240">
        <f t="shared" ca="1" si="19"/>
        <v>2853244.7915691044</v>
      </c>
      <c r="AA58" s="217">
        <f t="shared" si="20"/>
        <v>64.250000000000099</v>
      </c>
      <c r="AB58" s="216">
        <f t="shared" ca="1" si="5"/>
        <v>62856.639291942876</v>
      </c>
      <c r="AC58" s="240">
        <f t="shared" ca="1" si="21"/>
        <v>2514265.5716777146</v>
      </c>
      <c r="AD58" s="216"/>
      <c r="AF58" s="210">
        <f>ROW()</f>
        <v>58</v>
      </c>
      <c r="AG58" s="217">
        <f t="shared" si="22"/>
        <v>64.250000000000099</v>
      </c>
      <c r="AH58" s="217">
        <f t="shared" ca="1" si="25"/>
        <v>0</v>
      </c>
      <c r="AI58" s="217">
        <f ca="1">IF(AH57&lt;&gt;0,FINANCIAMIENTO!$F$5,0)</f>
        <v>0</v>
      </c>
      <c r="AJ58" s="240" t="b">
        <f t="shared" ca="1" si="2"/>
        <v>1</v>
      </c>
      <c r="AK58" s="240">
        <f t="shared" ca="1" si="6"/>
        <v>63801.225248500457</v>
      </c>
      <c r="AL58" s="240">
        <f t="shared" ca="1" si="7"/>
        <v>76363.675936010943</v>
      </c>
      <c r="AM58" s="240">
        <f t="shared" ca="1" si="8"/>
        <v>63801.225248500457</v>
      </c>
      <c r="AN58" s="240">
        <f t="shared" ca="1" si="23"/>
        <v>2552049.0109400172</v>
      </c>
    </row>
    <row r="59" spans="9:40">
      <c r="I59" s="217">
        <f t="shared" si="9"/>
        <v>64.333333333333428</v>
      </c>
      <c r="J59" s="216">
        <f t="shared" ca="1" si="3"/>
        <v>62856.639291942876</v>
      </c>
      <c r="K59" s="216">
        <f t="shared" ca="1" si="10"/>
        <v>2577122.2109696576</v>
      </c>
      <c r="M59" s="217">
        <f t="shared" si="11"/>
        <v>64.333333333333428</v>
      </c>
      <c r="N59" s="217">
        <f t="shared" ca="1" si="24"/>
        <v>0</v>
      </c>
      <c r="O59" s="216">
        <f t="shared" ca="1" si="12"/>
        <v>76363.675936010943</v>
      </c>
      <c r="P59" s="216">
        <f t="shared" ca="1" si="13"/>
        <v>2956617.3644404807</v>
      </c>
      <c r="R59" s="217">
        <f t="shared" si="14"/>
        <v>64.333333333333428</v>
      </c>
      <c r="S59" s="240">
        <f t="shared" ca="1" si="4"/>
        <v>62856.639291942876</v>
      </c>
      <c r="T59" s="240">
        <f t="shared" ca="1" si="15"/>
        <v>2577122.2109696576</v>
      </c>
      <c r="V59" s="217">
        <f t="shared" si="16"/>
        <v>64.333333333333428</v>
      </c>
      <c r="W59" s="217">
        <f t="shared" ca="1" si="17"/>
        <v>0</v>
      </c>
      <c r="X59" s="240">
        <f t="shared" ca="1" si="18"/>
        <v>76363.675936010943</v>
      </c>
      <c r="Y59" s="240">
        <f t="shared" ca="1" si="19"/>
        <v>2929608.4675051156</v>
      </c>
      <c r="AA59" s="217">
        <f t="shared" si="20"/>
        <v>64.333333333333428</v>
      </c>
      <c r="AB59" s="216">
        <f t="shared" ca="1" si="5"/>
        <v>62856.639291942876</v>
      </c>
      <c r="AC59" s="240">
        <f t="shared" ca="1" si="21"/>
        <v>2577122.2109696576</v>
      </c>
      <c r="AD59" s="216"/>
      <c r="AF59" s="210">
        <f>ROW()</f>
        <v>59</v>
      </c>
      <c r="AG59" s="217">
        <f t="shared" si="22"/>
        <v>64.333333333333428</v>
      </c>
      <c r="AH59" s="217">
        <f t="shared" ca="1" si="25"/>
        <v>0</v>
      </c>
      <c r="AI59" s="217">
        <f ca="1">IF(AH58&lt;&gt;0,FINANCIAMIENTO!$F$5,0)</f>
        <v>0</v>
      </c>
      <c r="AJ59" s="240" t="b">
        <f t="shared" ca="1" si="2"/>
        <v>1</v>
      </c>
      <c r="AK59" s="240">
        <f t="shared" ca="1" si="6"/>
        <v>63801.225248500457</v>
      </c>
      <c r="AL59" s="240">
        <f t="shared" ca="1" si="7"/>
        <v>76363.675936010943</v>
      </c>
      <c r="AM59" s="240">
        <f t="shared" ca="1" si="8"/>
        <v>63801.225248500457</v>
      </c>
      <c r="AN59" s="240">
        <f t="shared" ca="1" si="23"/>
        <v>2615850.2361885174</v>
      </c>
    </row>
    <row r="60" spans="9:40">
      <c r="I60" s="217">
        <f t="shared" si="9"/>
        <v>64.416666666666757</v>
      </c>
      <c r="J60" s="216">
        <f t="shared" ca="1" si="3"/>
        <v>62856.639291942876</v>
      </c>
      <c r="K60" s="216">
        <f t="shared" ca="1" si="10"/>
        <v>2639978.8502616007</v>
      </c>
      <c r="M60" s="217">
        <f t="shared" si="11"/>
        <v>64.416666666666757</v>
      </c>
      <c r="N60" s="217">
        <f t="shared" ca="1" si="24"/>
        <v>0</v>
      </c>
      <c r="O60" s="216">
        <f t="shared" ca="1" si="12"/>
        <v>76363.675936010943</v>
      </c>
      <c r="P60" s="216">
        <f t="shared" ca="1" si="13"/>
        <v>3032981.0403764918</v>
      </c>
      <c r="R60" s="217">
        <f t="shared" si="14"/>
        <v>64.416666666666757</v>
      </c>
      <c r="S60" s="240">
        <f t="shared" ca="1" si="4"/>
        <v>62856.639291942876</v>
      </c>
      <c r="T60" s="240">
        <f t="shared" ca="1" si="15"/>
        <v>2639978.8502616007</v>
      </c>
      <c r="V60" s="217">
        <f t="shared" si="16"/>
        <v>64.416666666666757</v>
      </c>
      <c r="W60" s="217">
        <f t="shared" ca="1" si="17"/>
        <v>0</v>
      </c>
      <c r="X60" s="240">
        <f t="shared" ca="1" si="18"/>
        <v>76363.675936010943</v>
      </c>
      <c r="Y60" s="240">
        <f t="shared" ca="1" si="19"/>
        <v>3005972.1434411267</v>
      </c>
      <c r="AA60" s="217">
        <f t="shared" si="20"/>
        <v>64.416666666666757</v>
      </c>
      <c r="AB60" s="216">
        <f t="shared" ca="1" si="5"/>
        <v>62856.639291942876</v>
      </c>
      <c r="AC60" s="240">
        <f t="shared" ca="1" si="21"/>
        <v>2639978.8502616007</v>
      </c>
      <c r="AD60" s="216"/>
      <c r="AF60" s="210">
        <f>ROW()</f>
        <v>60</v>
      </c>
      <c r="AG60" s="217">
        <f t="shared" si="22"/>
        <v>64.416666666666757</v>
      </c>
      <c r="AH60" s="217">
        <f t="shared" ca="1" si="25"/>
        <v>0</v>
      </c>
      <c r="AI60" s="217">
        <f ca="1">IF(AH59&lt;&gt;0,FINANCIAMIENTO!$F$5,0)</f>
        <v>0</v>
      </c>
      <c r="AJ60" s="240" t="b">
        <f t="shared" ca="1" si="2"/>
        <v>1</v>
      </c>
      <c r="AK60" s="240">
        <f t="shared" ca="1" si="6"/>
        <v>63801.225248500457</v>
      </c>
      <c r="AL60" s="240">
        <f t="shared" ca="1" si="7"/>
        <v>76363.675936010943</v>
      </c>
      <c r="AM60" s="240">
        <f t="shared" ca="1" si="8"/>
        <v>63801.225248500457</v>
      </c>
      <c r="AN60" s="240">
        <f t="shared" ca="1" si="23"/>
        <v>2679651.4614370177</v>
      </c>
    </row>
    <row r="61" spans="9:40">
      <c r="I61" s="217">
        <f t="shared" si="9"/>
        <v>64.500000000000085</v>
      </c>
      <c r="J61" s="216">
        <f t="shared" ca="1" si="3"/>
        <v>62856.639291942876</v>
      </c>
      <c r="K61" s="216">
        <f t="shared" ca="1" si="10"/>
        <v>2702835.4895535437</v>
      </c>
      <c r="M61" s="217">
        <f t="shared" si="11"/>
        <v>64.500000000000085</v>
      </c>
      <c r="N61" s="217">
        <f t="shared" ca="1" si="24"/>
        <v>0</v>
      </c>
      <c r="O61" s="216">
        <f t="shared" ca="1" si="12"/>
        <v>76363.675936010943</v>
      </c>
      <c r="P61" s="216">
        <f t="shared" ca="1" si="13"/>
        <v>3109344.716312503</v>
      </c>
      <c r="R61" s="217">
        <f t="shared" si="14"/>
        <v>64.500000000000085</v>
      </c>
      <c r="S61" s="240">
        <f t="shared" ca="1" si="4"/>
        <v>62856.639291942876</v>
      </c>
      <c r="T61" s="240">
        <f t="shared" ca="1" si="15"/>
        <v>2702835.4895535437</v>
      </c>
      <c r="V61" s="217">
        <f t="shared" si="16"/>
        <v>64.500000000000085</v>
      </c>
      <c r="W61" s="217">
        <f t="shared" ca="1" si="17"/>
        <v>0</v>
      </c>
      <c r="X61" s="240">
        <f t="shared" ca="1" si="18"/>
        <v>76363.675936010943</v>
      </c>
      <c r="Y61" s="240">
        <f t="shared" ca="1" si="19"/>
        <v>3082335.8193771378</v>
      </c>
      <c r="AA61" s="217">
        <f t="shared" si="20"/>
        <v>64.500000000000085</v>
      </c>
      <c r="AB61" s="216">
        <f t="shared" ca="1" si="5"/>
        <v>62856.639291942876</v>
      </c>
      <c r="AC61" s="240">
        <f t="shared" ca="1" si="21"/>
        <v>2702835.4895535437</v>
      </c>
      <c r="AD61" s="216"/>
      <c r="AF61" s="210">
        <f>ROW()</f>
        <v>61</v>
      </c>
      <c r="AG61" s="217">
        <f t="shared" si="22"/>
        <v>64.500000000000085</v>
      </c>
      <c r="AH61" s="217">
        <f t="shared" ca="1" si="25"/>
        <v>0</v>
      </c>
      <c r="AI61" s="217">
        <f ca="1">IF(AH60&lt;&gt;0,FINANCIAMIENTO!$F$5,0)</f>
        <v>0</v>
      </c>
      <c r="AJ61" s="240" t="b">
        <f t="shared" ca="1" si="2"/>
        <v>1</v>
      </c>
      <c r="AK61" s="240">
        <f t="shared" ca="1" si="6"/>
        <v>63801.225248500457</v>
      </c>
      <c r="AL61" s="240">
        <f t="shared" ca="1" si="7"/>
        <v>76363.675936010943</v>
      </c>
      <c r="AM61" s="240">
        <f t="shared" ca="1" si="8"/>
        <v>63801.225248500457</v>
      </c>
      <c r="AN61" s="240">
        <f t="shared" ca="1" si="23"/>
        <v>2743452.6866855179</v>
      </c>
    </row>
    <row r="62" spans="9:40">
      <c r="I62" s="217">
        <f t="shared" si="9"/>
        <v>64.583333333333414</v>
      </c>
      <c r="J62" s="216">
        <f t="shared" ca="1" si="3"/>
        <v>62856.639291942876</v>
      </c>
      <c r="K62" s="216">
        <f t="shared" ca="1" si="10"/>
        <v>2765692.1288454868</v>
      </c>
      <c r="M62" s="217">
        <f t="shared" si="11"/>
        <v>64.583333333333414</v>
      </c>
      <c r="N62" s="217">
        <f t="shared" ca="1" si="24"/>
        <v>0</v>
      </c>
      <c r="O62" s="216">
        <f t="shared" ca="1" si="12"/>
        <v>76363.675936010943</v>
      </c>
      <c r="P62" s="216">
        <f t="shared" ca="1" si="13"/>
        <v>3185708.3922485141</v>
      </c>
      <c r="R62" s="217">
        <f t="shared" si="14"/>
        <v>64.583333333333414</v>
      </c>
      <c r="S62" s="240">
        <f t="shared" ca="1" si="4"/>
        <v>62856.639291942876</v>
      </c>
      <c r="T62" s="240">
        <f t="shared" ca="1" si="15"/>
        <v>2765692.1288454868</v>
      </c>
      <c r="V62" s="217">
        <f t="shared" si="16"/>
        <v>64.583333333333414</v>
      </c>
      <c r="W62" s="217">
        <f t="shared" ca="1" si="17"/>
        <v>0</v>
      </c>
      <c r="X62" s="240">
        <f t="shared" ca="1" si="18"/>
        <v>76363.675936010943</v>
      </c>
      <c r="Y62" s="240">
        <f t="shared" ca="1" si="19"/>
        <v>3158699.4953131489</v>
      </c>
      <c r="AA62" s="217">
        <f t="shared" si="20"/>
        <v>64.583333333333414</v>
      </c>
      <c r="AB62" s="216">
        <f t="shared" ca="1" si="5"/>
        <v>62856.639291942876</v>
      </c>
      <c r="AC62" s="240">
        <f t="shared" ca="1" si="21"/>
        <v>2765692.1288454868</v>
      </c>
      <c r="AD62" s="216"/>
      <c r="AF62" s="210">
        <f>ROW()</f>
        <v>62</v>
      </c>
      <c r="AG62" s="217">
        <f t="shared" si="22"/>
        <v>64.583333333333414</v>
      </c>
      <c r="AH62" s="217">
        <f t="shared" ca="1" si="25"/>
        <v>0</v>
      </c>
      <c r="AI62" s="217">
        <f ca="1">IF(AH61&lt;&gt;0,FINANCIAMIENTO!$F$5,0)</f>
        <v>0</v>
      </c>
      <c r="AJ62" s="240" t="b">
        <f t="shared" ca="1" si="2"/>
        <v>1</v>
      </c>
      <c r="AK62" s="240">
        <f t="shared" ca="1" si="6"/>
        <v>63801.225248500457</v>
      </c>
      <c r="AL62" s="240">
        <f t="shared" ca="1" si="7"/>
        <v>76363.675936010943</v>
      </c>
      <c r="AM62" s="240">
        <f t="shared" ca="1" si="8"/>
        <v>63801.225248500457</v>
      </c>
      <c r="AN62" s="240">
        <f t="shared" ca="1" si="23"/>
        <v>2807253.9119340181</v>
      </c>
    </row>
    <row r="63" spans="9:40">
      <c r="I63" s="217">
        <f t="shared" si="9"/>
        <v>64.666666666666742</v>
      </c>
      <c r="J63" s="216">
        <f t="shared" ca="1" si="3"/>
        <v>62856.639291942876</v>
      </c>
      <c r="K63" s="216">
        <f t="shared" ca="1" si="10"/>
        <v>2828548.7681374298</v>
      </c>
      <c r="M63" s="217">
        <f t="shared" si="11"/>
        <v>64.666666666666742</v>
      </c>
      <c r="N63" s="217">
        <f t="shared" ca="1" si="24"/>
        <v>0</v>
      </c>
      <c r="O63" s="216">
        <f t="shared" ca="1" si="12"/>
        <v>76363.675936010943</v>
      </c>
      <c r="P63" s="216">
        <f t="shared" ca="1" si="13"/>
        <v>3262072.0681845252</v>
      </c>
      <c r="R63" s="217">
        <f t="shared" si="14"/>
        <v>64.666666666666742</v>
      </c>
      <c r="S63" s="240">
        <f t="shared" ca="1" si="4"/>
        <v>62856.639291942876</v>
      </c>
      <c r="T63" s="240">
        <f t="shared" ca="1" si="15"/>
        <v>2828548.7681374298</v>
      </c>
      <c r="V63" s="217">
        <f t="shared" si="16"/>
        <v>64.666666666666742</v>
      </c>
      <c r="W63" s="217">
        <f t="shared" ca="1" si="17"/>
        <v>0</v>
      </c>
      <c r="X63" s="240">
        <f t="shared" ca="1" si="18"/>
        <v>76363.675936010943</v>
      </c>
      <c r="Y63" s="240">
        <f t="shared" ca="1" si="19"/>
        <v>3235063.1712491601</v>
      </c>
      <c r="AA63" s="217">
        <f t="shared" si="20"/>
        <v>64.666666666666742</v>
      </c>
      <c r="AB63" s="216">
        <f t="shared" ca="1" si="5"/>
        <v>62856.639291942876</v>
      </c>
      <c r="AC63" s="240">
        <f t="shared" ca="1" si="21"/>
        <v>2828548.7681374298</v>
      </c>
      <c r="AD63" s="216"/>
      <c r="AF63" s="210">
        <f>ROW()</f>
        <v>63</v>
      </c>
      <c r="AG63" s="217">
        <f t="shared" si="22"/>
        <v>64.666666666666742</v>
      </c>
      <c r="AH63" s="217">
        <f t="shared" ca="1" si="25"/>
        <v>0</v>
      </c>
      <c r="AI63" s="217">
        <f ca="1">IF(AH62&lt;&gt;0,FINANCIAMIENTO!$F$5,0)</f>
        <v>0</v>
      </c>
      <c r="AJ63" s="240" t="b">
        <f t="shared" ca="1" si="2"/>
        <v>1</v>
      </c>
      <c r="AK63" s="240">
        <f t="shared" ca="1" si="6"/>
        <v>63801.225248500457</v>
      </c>
      <c r="AL63" s="240">
        <f t="shared" ca="1" si="7"/>
        <v>76363.675936010943</v>
      </c>
      <c r="AM63" s="240">
        <f t="shared" ca="1" si="8"/>
        <v>63801.225248500457</v>
      </c>
      <c r="AN63" s="240">
        <f t="shared" ca="1" si="23"/>
        <v>2871055.1371825184</v>
      </c>
    </row>
    <row r="64" spans="9:40">
      <c r="I64" s="217">
        <f t="shared" si="9"/>
        <v>64.750000000000071</v>
      </c>
      <c r="J64" s="216">
        <f t="shared" ca="1" si="3"/>
        <v>62856.639291942876</v>
      </c>
      <c r="K64" s="216">
        <f t="shared" ca="1" si="10"/>
        <v>2891405.4074293729</v>
      </c>
      <c r="M64" s="217">
        <f t="shared" si="11"/>
        <v>64.750000000000071</v>
      </c>
      <c r="N64" s="217">
        <f t="shared" ca="1" si="24"/>
        <v>0</v>
      </c>
      <c r="O64" s="216">
        <f t="shared" ca="1" si="12"/>
        <v>76363.675936010943</v>
      </c>
      <c r="P64" s="216">
        <f t="shared" ca="1" si="13"/>
        <v>3338435.7441205364</v>
      </c>
      <c r="R64" s="217">
        <f t="shared" si="14"/>
        <v>64.750000000000071</v>
      </c>
      <c r="S64" s="240">
        <f t="shared" ca="1" si="4"/>
        <v>62856.639291942876</v>
      </c>
      <c r="T64" s="240">
        <f t="shared" ca="1" si="15"/>
        <v>2891405.4074293729</v>
      </c>
      <c r="V64" s="217">
        <f t="shared" si="16"/>
        <v>64.750000000000071</v>
      </c>
      <c r="W64" s="217">
        <f t="shared" ca="1" si="17"/>
        <v>0</v>
      </c>
      <c r="X64" s="240">
        <f t="shared" ca="1" si="18"/>
        <v>76363.675936010943</v>
      </c>
      <c r="Y64" s="240">
        <f t="shared" ca="1" si="19"/>
        <v>3311426.8471851712</v>
      </c>
      <c r="AA64" s="217">
        <f t="shared" si="20"/>
        <v>64.750000000000071</v>
      </c>
      <c r="AB64" s="216">
        <f t="shared" ca="1" si="5"/>
        <v>62856.639291942876</v>
      </c>
      <c r="AC64" s="240">
        <f t="shared" ca="1" si="21"/>
        <v>2891405.4074293729</v>
      </c>
      <c r="AD64" s="216"/>
      <c r="AF64" s="210">
        <f>ROW()</f>
        <v>64</v>
      </c>
      <c r="AG64" s="217">
        <f t="shared" si="22"/>
        <v>64.750000000000071</v>
      </c>
      <c r="AH64" s="217">
        <f t="shared" ca="1" si="25"/>
        <v>0</v>
      </c>
      <c r="AI64" s="217">
        <f ca="1">IF(AH63&lt;&gt;0,FINANCIAMIENTO!$F$5,0)</f>
        <v>0</v>
      </c>
      <c r="AJ64" s="240" t="b">
        <f t="shared" ca="1" si="2"/>
        <v>1</v>
      </c>
      <c r="AK64" s="240">
        <f t="shared" ca="1" si="6"/>
        <v>63801.225248500457</v>
      </c>
      <c r="AL64" s="240">
        <f t="shared" ca="1" si="7"/>
        <v>76363.675936010943</v>
      </c>
      <c r="AM64" s="240">
        <f t="shared" ca="1" si="8"/>
        <v>63801.225248500457</v>
      </c>
      <c r="AN64" s="240">
        <f t="shared" ca="1" si="23"/>
        <v>2934856.3624310186</v>
      </c>
    </row>
    <row r="65" spans="9:40">
      <c r="I65" s="217">
        <f t="shared" si="9"/>
        <v>64.8333333333334</v>
      </c>
      <c r="J65" s="216">
        <f t="shared" ca="1" si="3"/>
        <v>62856.639291942876</v>
      </c>
      <c r="K65" s="216">
        <f t="shared" ca="1" si="10"/>
        <v>2954262.0467213159</v>
      </c>
      <c r="M65" s="217">
        <f t="shared" si="11"/>
        <v>64.8333333333334</v>
      </c>
      <c r="N65" s="217">
        <f t="shared" ca="1" si="24"/>
        <v>0</v>
      </c>
      <c r="O65" s="216">
        <f t="shared" ca="1" si="12"/>
        <v>76363.675936010943</v>
      </c>
      <c r="P65" s="216">
        <f t="shared" ca="1" si="13"/>
        <v>3414799.4200565475</v>
      </c>
      <c r="R65" s="217">
        <f t="shared" si="14"/>
        <v>64.8333333333334</v>
      </c>
      <c r="S65" s="240">
        <f t="shared" ca="1" si="4"/>
        <v>62856.639291942876</v>
      </c>
      <c r="T65" s="240">
        <f t="shared" ca="1" si="15"/>
        <v>2954262.0467213159</v>
      </c>
      <c r="V65" s="217">
        <f t="shared" si="16"/>
        <v>64.8333333333334</v>
      </c>
      <c r="W65" s="217">
        <f t="shared" ca="1" si="17"/>
        <v>0</v>
      </c>
      <c r="X65" s="240">
        <f t="shared" ca="1" si="18"/>
        <v>76363.675936010943</v>
      </c>
      <c r="Y65" s="240">
        <f t="shared" ca="1" si="19"/>
        <v>3387790.5231211823</v>
      </c>
      <c r="AA65" s="217">
        <f t="shared" si="20"/>
        <v>64.8333333333334</v>
      </c>
      <c r="AB65" s="216">
        <f t="shared" ca="1" si="5"/>
        <v>62856.639291942876</v>
      </c>
      <c r="AC65" s="240">
        <f t="shared" ca="1" si="21"/>
        <v>2954262.0467213159</v>
      </c>
      <c r="AD65" s="216"/>
      <c r="AF65" s="210">
        <f>ROW()</f>
        <v>65</v>
      </c>
      <c r="AG65" s="217">
        <f t="shared" si="22"/>
        <v>64.8333333333334</v>
      </c>
      <c r="AH65" s="217">
        <f t="shared" ca="1" si="25"/>
        <v>0</v>
      </c>
      <c r="AI65" s="217">
        <f ca="1">IF(AH64&lt;&gt;0,FINANCIAMIENTO!$F$5,0)</f>
        <v>0</v>
      </c>
      <c r="AJ65" s="240" t="b">
        <f t="shared" ca="1" si="2"/>
        <v>1</v>
      </c>
      <c r="AK65" s="240">
        <f t="shared" ca="1" si="6"/>
        <v>63801.225248500457</v>
      </c>
      <c r="AL65" s="240">
        <f t="shared" ca="1" si="7"/>
        <v>76363.675936010943</v>
      </c>
      <c r="AM65" s="240">
        <f t="shared" ca="1" si="8"/>
        <v>63801.225248500457</v>
      </c>
      <c r="AN65" s="240">
        <f t="shared" ca="1" si="23"/>
        <v>2998657.5876795189</v>
      </c>
    </row>
    <row r="66" spans="9:40">
      <c r="I66" s="217">
        <f t="shared" si="9"/>
        <v>64.916666666666728</v>
      </c>
      <c r="J66" s="216">
        <f t="shared" ca="1" si="3"/>
        <v>62856.639291942876</v>
      </c>
      <c r="K66" s="216">
        <f t="shared" ca="1" si="10"/>
        <v>3017118.686013259</v>
      </c>
      <c r="M66" s="217">
        <f t="shared" si="11"/>
        <v>64.916666666666728</v>
      </c>
      <c r="N66" s="217">
        <f t="shared" ca="1" si="24"/>
        <v>0</v>
      </c>
      <c r="O66" s="216">
        <f t="shared" ca="1" si="12"/>
        <v>76363.675936010943</v>
      </c>
      <c r="P66" s="216">
        <f t="shared" ca="1" si="13"/>
        <v>3491163.0959925586</v>
      </c>
      <c r="R66" s="217">
        <f t="shared" si="14"/>
        <v>64.916666666666728</v>
      </c>
      <c r="S66" s="240">
        <f t="shared" ca="1" si="4"/>
        <v>62856.639291942876</v>
      </c>
      <c r="T66" s="240">
        <f t="shared" ca="1" si="15"/>
        <v>3017118.686013259</v>
      </c>
      <c r="V66" s="217">
        <f t="shared" si="16"/>
        <v>64.916666666666728</v>
      </c>
      <c r="W66" s="217">
        <f t="shared" ca="1" si="17"/>
        <v>0</v>
      </c>
      <c r="X66" s="240">
        <f t="shared" ca="1" si="18"/>
        <v>76363.675936010943</v>
      </c>
      <c r="Y66" s="240">
        <f t="shared" ca="1" si="19"/>
        <v>3464154.1990571935</v>
      </c>
      <c r="AA66" s="217">
        <f t="shared" si="20"/>
        <v>64.916666666666728</v>
      </c>
      <c r="AB66" s="216">
        <f t="shared" ca="1" si="5"/>
        <v>62856.639291942876</v>
      </c>
      <c r="AC66" s="240">
        <f t="shared" ca="1" si="21"/>
        <v>3017118.686013259</v>
      </c>
      <c r="AD66" s="216"/>
      <c r="AF66" s="210">
        <f>ROW()</f>
        <v>66</v>
      </c>
      <c r="AG66" s="217">
        <f t="shared" si="22"/>
        <v>64.916666666666728</v>
      </c>
      <c r="AH66" s="217">
        <f t="shared" ca="1" si="25"/>
        <v>0</v>
      </c>
      <c r="AI66" s="217">
        <f ca="1">IF(AH65&lt;&gt;0,FINANCIAMIENTO!$F$5,0)</f>
        <v>0</v>
      </c>
      <c r="AJ66" s="240" t="b">
        <f t="shared" ca="1" si="2"/>
        <v>1</v>
      </c>
      <c r="AK66" s="240">
        <f t="shared" ca="1" si="6"/>
        <v>63801.225248500457</v>
      </c>
      <c r="AL66" s="240">
        <f t="shared" ca="1" si="7"/>
        <v>76363.675936010943</v>
      </c>
      <c r="AM66" s="240">
        <f t="shared" ca="1" si="8"/>
        <v>63801.225248500457</v>
      </c>
      <c r="AN66" s="240">
        <f t="shared" ca="1" si="23"/>
        <v>3062458.8129280191</v>
      </c>
    </row>
    <row r="67" spans="9:40">
      <c r="I67" s="217">
        <f t="shared" si="9"/>
        <v>65.000000000000057</v>
      </c>
      <c r="J67" s="216">
        <f t="shared" ca="1" si="3"/>
        <v>62856.639291942876</v>
      </c>
      <c r="K67" s="216">
        <f t="shared" ca="1" si="10"/>
        <v>3079975.325305202</v>
      </c>
      <c r="M67" s="217">
        <f t="shared" si="11"/>
        <v>65.000000000000057</v>
      </c>
      <c r="N67" s="217">
        <f t="shared" ca="1" si="24"/>
        <v>0</v>
      </c>
      <c r="O67" s="216">
        <f t="shared" ca="1" si="12"/>
        <v>76363.675936010943</v>
      </c>
      <c r="P67" s="216">
        <f t="shared" ca="1" si="13"/>
        <v>3567526.7719285698</v>
      </c>
      <c r="R67" s="217">
        <f t="shared" si="14"/>
        <v>65.000000000000057</v>
      </c>
      <c r="S67" s="240">
        <f t="shared" ca="1" si="4"/>
        <v>62856.639291942876</v>
      </c>
      <c r="T67" s="240">
        <f t="shared" ca="1" si="15"/>
        <v>3079975.325305202</v>
      </c>
      <c r="V67" s="217">
        <f t="shared" si="16"/>
        <v>65.000000000000057</v>
      </c>
      <c r="W67" s="217">
        <f t="shared" ca="1" si="17"/>
        <v>0</v>
      </c>
      <c r="X67" s="240">
        <f t="shared" ca="1" si="18"/>
        <v>76363.675936010943</v>
      </c>
      <c r="Y67" s="240">
        <f t="shared" ca="1" si="19"/>
        <v>3540517.8749932046</v>
      </c>
      <c r="AA67" s="217">
        <f t="shared" si="20"/>
        <v>65.000000000000057</v>
      </c>
      <c r="AB67" s="216">
        <f t="shared" ca="1" si="5"/>
        <v>62856.639291942876</v>
      </c>
      <c r="AC67" s="240">
        <f t="shared" ca="1" si="21"/>
        <v>3079975.325305202</v>
      </c>
      <c r="AD67" s="216"/>
      <c r="AF67" s="210">
        <f>ROW()</f>
        <v>67</v>
      </c>
      <c r="AG67" s="217">
        <f t="shared" si="22"/>
        <v>65.000000000000057</v>
      </c>
      <c r="AH67" s="217">
        <f t="shared" ca="1" si="25"/>
        <v>0</v>
      </c>
      <c r="AI67" s="217">
        <f ca="1">IF(AH66&lt;&gt;0,FINANCIAMIENTO!$F$5,0)</f>
        <v>0</v>
      </c>
      <c r="AJ67" s="240" t="b">
        <f t="shared" ca="1" si="2"/>
        <v>1</v>
      </c>
      <c r="AK67" s="240">
        <f t="shared" ca="1" si="6"/>
        <v>63801.225248500457</v>
      </c>
      <c r="AL67" s="240">
        <f t="shared" ca="1" si="7"/>
        <v>76363.675936010943</v>
      </c>
      <c r="AM67" s="240">
        <f t="shared" ca="1" si="8"/>
        <v>63801.225248500457</v>
      </c>
      <c r="AN67" s="240">
        <f t="shared" ca="1" si="23"/>
        <v>3126260.0381765193</v>
      </c>
    </row>
    <row r="68" spans="9:40">
      <c r="I68" s="217">
        <f t="shared" si="9"/>
        <v>65.083333333333385</v>
      </c>
      <c r="J68" s="216">
        <f t="shared" ca="1" si="3"/>
        <v>62856.639291942876</v>
      </c>
      <c r="K68" s="216">
        <f t="shared" ca="1" si="10"/>
        <v>3142831.9645971451</v>
      </c>
      <c r="M68" s="217">
        <f t="shared" si="11"/>
        <v>65.083333333333385</v>
      </c>
      <c r="N68" s="217">
        <f t="shared" ca="1" si="24"/>
        <v>0</v>
      </c>
      <c r="O68" s="216">
        <f t="shared" ca="1" si="12"/>
        <v>76363.675936010943</v>
      </c>
      <c r="P68" s="216">
        <f t="shared" ca="1" si="13"/>
        <v>3643890.4478645809</v>
      </c>
      <c r="R68" s="217">
        <f t="shared" si="14"/>
        <v>65.083333333333385</v>
      </c>
      <c r="S68" s="240">
        <f t="shared" ca="1" si="4"/>
        <v>62856.639291942876</v>
      </c>
      <c r="T68" s="240">
        <f t="shared" ca="1" si="15"/>
        <v>3142831.9645971451</v>
      </c>
      <c r="V68" s="217">
        <f t="shared" si="16"/>
        <v>65.083333333333385</v>
      </c>
      <c r="W68" s="217">
        <f t="shared" ca="1" si="17"/>
        <v>0</v>
      </c>
      <c r="X68" s="240">
        <f t="shared" ca="1" si="18"/>
        <v>76363.675936010943</v>
      </c>
      <c r="Y68" s="240">
        <f t="shared" ca="1" si="19"/>
        <v>3616881.5509292157</v>
      </c>
      <c r="AA68" s="217">
        <f t="shared" si="20"/>
        <v>65.083333333333385</v>
      </c>
      <c r="AB68" s="216">
        <f t="shared" ca="1" si="5"/>
        <v>62856.639291942876</v>
      </c>
      <c r="AC68" s="240">
        <f t="shared" ca="1" si="21"/>
        <v>3142831.9645971451</v>
      </c>
      <c r="AD68" s="216"/>
      <c r="AF68" s="210">
        <f>ROW()</f>
        <v>68</v>
      </c>
      <c r="AG68" s="217">
        <f t="shared" si="22"/>
        <v>65.083333333333385</v>
      </c>
      <c r="AH68" s="217">
        <f t="shared" ca="1" si="25"/>
        <v>0</v>
      </c>
      <c r="AI68" s="217">
        <f ca="1">IF(AH67&lt;&gt;0,FINANCIAMIENTO!$F$5,0)</f>
        <v>0</v>
      </c>
      <c r="AJ68" s="240" t="b">
        <f t="shared" ca="1" si="2"/>
        <v>1</v>
      </c>
      <c r="AK68" s="240">
        <f t="shared" ca="1" si="6"/>
        <v>63801.225248500457</v>
      </c>
      <c r="AL68" s="240">
        <f t="shared" ca="1" si="7"/>
        <v>76363.675936010943</v>
      </c>
      <c r="AM68" s="240">
        <f t="shared" ca="1" si="8"/>
        <v>63801.225248500457</v>
      </c>
      <c r="AN68" s="240">
        <f t="shared" ca="1" si="23"/>
        <v>3190061.2634250196</v>
      </c>
    </row>
    <row r="69" spans="9:40">
      <c r="I69" s="217">
        <f t="shared" si="9"/>
        <v>65.166666666666714</v>
      </c>
      <c r="J69" s="216">
        <f t="shared" ca="1" si="3"/>
        <v>62856.639291942876</v>
      </c>
      <c r="K69" s="216">
        <f t="shared" ca="1" si="10"/>
        <v>3205688.6038890881</v>
      </c>
      <c r="M69" s="217">
        <f t="shared" si="11"/>
        <v>65.166666666666714</v>
      </c>
      <c r="N69" s="217">
        <f t="shared" ca="1" si="24"/>
        <v>0</v>
      </c>
      <c r="O69" s="216">
        <f t="shared" ca="1" si="12"/>
        <v>76363.675936010943</v>
      </c>
      <c r="P69" s="216">
        <f t="shared" ca="1" si="13"/>
        <v>3720254.123800592</v>
      </c>
      <c r="R69" s="217">
        <f t="shared" si="14"/>
        <v>65.166666666666714</v>
      </c>
      <c r="S69" s="240">
        <f t="shared" ca="1" si="4"/>
        <v>62856.639291942876</v>
      </c>
      <c r="T69" s="240">
        <f t="shared" ca="1" si="15"/>
        <v>3205688.6038890881</v>
      </c>
      <c r="V69" s="217">
        <f t="shared" si="16"/>
        <v>65.166666666666714</v>
      </c>
      <c r="W69" s="217">
        <f t="shared" ca="1" si="17"/>
        <v>0</v>
      </c>
      <c r="X69" s="240">
        <f t="shared" ca="1" si="18"/>
        <v>76363.675936010943</v>
      </c>
      <c r="Y69" s="240">
        <f t="shared" ca="1" si="19"/>
        <v>3693245.2268652269</v>
      </c>
      <c r="AA69" s="217">
        <f t="shared" si="20"/>
        <v>65.166666666666714</v>
      </c>
      <c r="AB69" s="216">
        <f t="shared" ca="1" si="5"/>
        <v>62856.639291942876</v>
      </c>
      <c r="AC69" s="240">
        <f t="shared" ca="1" si="21"/>
        <v>3205688.6038890881</v>
      </c>
      <c r="AD69" s="216"/>
      <c r="AF69" s="210">
        <f>ROW()</f>
        <v>69</v>
      </c>
      <c r="AG69" s="217">
        <f t="shared" si="22"/>
        <v>65.166666666666714</v>
      </c>
      <c r="AH69" s="217">
        <f t="shared" ca="1" si="25"/>
        <v>0</v>
      </c>
      <c r="AI69" s="217">
        <f ca="1">IF(AH68&lt;&gt;0,FINANCIAMIENTO!$F$5,0)</f>
        <v>0</v>
      </c>
      <c r="AJ69" s="240" t="b">
        <f t="shared" ca="1" si="2"/>
        <v>1</v>
      </c>
      <c r="AK69" s="240">
        <f t="shared" ca="1" si="6"/>
        <v>63801.225248500457</v>
      </c>
      <c r="AL69" s="240">
        <f t="shared" ca="1" si="7"/>
        <v>76363.675936010943</v>
      </c>
      <c r="AM69" s="240">
        <f t="shared" ca="1" si="8"/>
        <v>63801.225248500457</v>
      </c>
      <c r="AN69" s="240">
        <f t="shared" ca="1" si="23"/>
        <v>3253862.4886735198</v>
      </c>
    </row>
    <row r="70" spans="9:40">
      <c r="I70" s="217">
        <f t="shared" si="9"/>
        <v>65.250000000000043</v>
      </c>
      <c r="J70" s="216">
        <f t="shared" ca="1" si="3"/>
        <v>62856.639291942876</v>
      </c>
      <c r="K70" s="216">
        <f t="shared" ca="1" si="10"/>
        <v>3268545.2431810312</v>
      </c>
      <c r="M70" s="217">
        <f t="shared" si="11"/>
        <v>65.250000000000043</v>
      </c>
      <c r="N70" s="217">
        <f t="shared" ref="N70:N101" ca="1" si="26">+IF(AND($N$3&gt;=M71-0.02,$N$3&lt;=M71+0.02),$N$4,0)</f>
        <v>0</v>
      </c>
      <c r="O70" s="216">
        <f t="shared" ca="1" si="12"/>
        <v>76363.675936010943</v>
      </c>
      <c r="P70" s="216">
        <f t="shared" ca="1" si="13"/>
        <v>3796617.7997366032</v>
      </c>
      <c r="R70" s="217">
        <f t="shared" si="14"/>
        <v>65.250000000000043</v>
      </c>
      <c r="S70" s="240">
        <f t="shared" ca="1" si="4"/>
        <v>62856.639291942876</v>
      </c>
      <c r="T70" s="240">
        <f t="shared" ca="1" si="15"/>
        <v>3268545.2431810312</v>
      </c>
      <c r="V70" s="217">
        <f t="shared" si="16"/>
        <v>65.250000000000043</v>
      </c>
      <c r="W70" s="217">
        <f t="shared" ca="1" si="17"/>
        <v>0</v>
      </c>
      <c r="X70" s="240">
        <f t="shared" ca="1" si="18"/>
        <v>76363.675936010943</v>
      </c>
      <c r="Y70" s="240">
        <f t="shared" ca="1" si="19"/>
        <v>3769608.902801238</v>
      </c>
      <c r="AA70" s="217">
        <f t="shared" si="20"/>
        <v>65.250000000000043</v>
      </c>
      <c r="AB70" s="216">
        <f t="shared" ca="1" si="5"/>
        <v>62856.639291942876</v>
      </c>
      <c r="AC70" s="240">
        <f t="shared" ca="1" si="21"/>
        <v>3268545.2431810312</v>
      </c>
      <c r="AD70" s="216"/>
      <c r="AF70" s="210">
        <f>ROW()</f>
        <v>70</v>
      </c>
      <c r="AG70" s="217">
        <f t="shared" si="22"/>
        <v>65.250000000000043</v>
      </c>
      <c r="AH70" s="217">
        <f t="shared" ca="1" si="25"/>
        <v>0</v>
      </c>
      <c r="AI70" s="217">
        <f ca="1">IF(AH69&lt;&gt;0,FINANCIAMIENTO!$F$5,0)</f>
        <v>0</v>
      </c>
      <c r="AJ70" s="240" t="b">
        <f t="shared" ca="1" si="2"/>
        <v>1</v>
      </c>
      <c r="AK70" s="240">
        <f t="shared" ca="1" si="6"/>
        <v>63801.225248500457</v>
      </c>
      <c r="AL70" s="240">
        <f t="shared" ca="1" si="7"/>
        <v>76363.675936010943</v>
      </c>
      <c r="AM70" s="240">
        <f t="shared" ca="1" si="8"/>
        <v>63801.225248500457</v>
      </c>
      <c r="AN70" s="240">
        <f t="shared" ca="1" si="23"/>
        <v>3317663.71392202</v>
      </c>
    </row>
    <row r="71" spans="9:40">
      <c r="I71" s="217">
        <f t="shared" si="9"/>
        <v>65.333333333333371</v>
      </c>
      <c r="J71" s="216">
        <f t="shared" ca="1" si="3"/>
        <v>62856.639291942876</v>
      </c>
      <c r="K71" s="216">
        <f t="shared" ca="1" si="10"/>
        <v>3331401.8824729742</v>
      </c>
      <c r="M71" s="217">
        <f t="shared" si="11"/>
        <v>65.333333333333371</v>
      </c>
      <c r="N71" s="217">
        <f t="shared" ca="1" si="26"/>
        <v>0</v>
      </c>
      <c r="O71" s="216">
        <f t="shared" ca="1" si="12"/>
        <v>76363.675936010943</v>
      </c>
      <c r="P71" s="216">
        <f t="shared" ca="1" si="13"/>
        <v>3872981.4756726143</v>
      </c>
      <c r="R71" s="217">
        <f t="shared" si="14"/>
        <v>65.333333333333371</v>
      </c>
      <c r="S71" s="240">
        <f t="shared" ca="1" si="4"/>
        <v>62856.639291942876</v>
      </c>
      <c r="T71" s="240">
        <f t="shared" ca="1" si="15"/>
        <v>3331401.8824729742</v>
      </c>
      <c r="V71" s="217">
        <f t="shared" si="16"/>
        <v>65.333333333333371</v>
      </c>
      <c r="W71" s="217">
        <f t="shared" ca="1" si="17"/>
        <v>0</v>
      </c>
      <c r="X71" s="240">
        <f t="shared" ca="1" si="18"/>
        <v>76363.675936010943</v>
      </c>
      <c r="Y71" s="240">
        <f t="shared" ca="1" si="19"/>
        <v>3845972.5787372491</v>
      </c>
      <c r="AA71" s="217">
        <f t="shared" si="20"/>
        <v>65.333333333333371</v>
      </c>
      <c r="AB71" s="216">
        <f t="shared" ca="1" si="5"/>
        <v>62856.639291942876</v>
      </c>
      <c r="AC71" s="240">
        <f t="shared" ca="1" si="21"/>
        <v>3331401.8824729742</v>
      </c>
      <c r="AD71" s="216"/>
      <c r="AF71" s="210">
        <f>ROW()</f>
        <v>71</v>
      </c>
      <c r="AG71" s="217">
        <f t="shared" si="22"/>
        <v>65.333333333333371</v>
      </c>
      <c r="AH71" s="217">
        <f t="shared" ref="AH71:AH102" ca="1" si="27">+IF(AND($AH$3&gt;=AG72-0.02,$N$3&lt;=AG72+0.02),$AH$4,0)</f>
        <v>0</v>
      </c>
      <c r="AI71" s="217">
        <f ca="1">IF(AH70&lt;&gt;0,FINANCIAMIENTO!$F$5,0)</f>
        <v>0</v>
      </c>
      <c r="AJ71" s="240" t="b">
        <f t="shared" ref="AJ71:AJ78" ca="1" si="28">AND(
   ROW(AF71)-ROW(AF$7)+1 &gt;= MATCH($AE$7,$AI$7:$AI$187,0),
   ROW(AF71)-ROW(AF$7)+1 &lt;= MATCH($AE$7,$AI$7:$AI$187,0)+54
)</f>
        <v>1</v>
      </c>
      <c r="AK71" s="240">
        <f t="shared" ca="1" si="6"/>
        <v>63801.225248500457</v>
      </c>
      <c r="AL71" s="240">
        <f t="shared" ca="1" si="7"/>
        <v>76363.675936010943</v>
      </c>
      <c r="AM71" s="240">
        <f t="shared" ca="1" si="8"/>
        <v>63801.225248500457</v>
      </c>
      <c r="AN71" s="240">
        <f t="shared" ca="1" si="23"/>
        <v>3381464.9391705203</v>
      </c>
    </row>
    <row r="72" spans="9:40">
      <c r="I72" s="217">
        <f t="shared" si="9"/>
        <v>65.4166666666667</v>
      </c>
      <c r="J72" s="216">
        <f t="shared" ref="J72:J135" ca="1" si="29">+IF(I72&gt;=$J$3,$J$2,0)</f>
        <v>62856.639291942876</v>
      </c>
      <c r="K72" s="216">
        <f t="shared" ca="1" si="10"/>
        <v>3394258.5217649173</v>
      </c>
      <c r="M72" s="217">
        <f t="shared" si="11"/>
        <v>65.4166666666667</v>
      </c>
      <c r="N72" s="217">
        <f t="shared" ca="1" si="26"/>
        <v>0</v>
      </c>
      <c r="O72" s="216">
        <f t="shared" ca="1" si="12"/>
        <v>76363.675936010943</v>
      </c>
      <c r="P72" s="216">
        <f t="shared" ca="1" si="13"/>
        <v>3949345.1516086254</v>
      </c>
      <c r="R72" s="217">
        <f t="shared" si="14"/>
        <v>65.4166666666667</v>
      </c>
      <c r="S72" s="240">
        <f t="shared" ref="S72:S135" ca="1" si="30">+IF(R72&gt;=$J$3,$J$2,0)</f>
        <v>62856.639291942876</v>
      </c>
      <c r="T72" s="240">
        <f t="shared" ca="1" si="15"/>
        <v>3394258.5217649173</v>
      </c>
      <c r="V72" s="217">
        <f t="shared" si="16"/>
        <v>65.4166666666667</v>
      </c>
      <c r="W72" s="217">
        <f t="shared" ca="1" si="17"/>
        <v>0</v>
      </c>
      <c r="X72" s="240">
        <f t="shared" ca="1" si="18"/>
        <v>76363.675936010943</v>
      </c>
      <c r="Y72" s="240">
        <f t="shared" ca="1" si="19"/>
        <v>3922336.2546732603</v>
      </c>
      <c r="AA72" s="217">
        <f t="shared" si="20"/>
        <v>65.4166666666667</v>
      </c>
      <c r="AB72" s="216">
        <f t="shared" ref="AB72:AB135" ca="1" si="31">+IF(AA72&gt;=$J$3,$J$2,0)</f>
        <v>62856.639291942876</v>
      </c>
      <c r="AC72" s="240">
        <f t="shared" ca="1" si="21"/>
        <v>3394258.5217649173</v>
      </c>
      <c r="AD72" s="216"/>
      <c r="AF72" s="210">
        <f>ROW()</f>
        <v>72</v>
      </c>
      <c r="AG72" s="217">
        <f t="shared" si="22"/>
        <v>65.4166666666667</v>
      </c>
      <c r="AH72" s="217">
        <f t="shared" ca="1" si="27"/>
        <v>0</v>
      </c>
      <c r="AI72" s="217">
        <f ca="1">IF(AH71&lt;&gt;0,FINANCIAMIENTO!$F$5,0)</f>
        <v>0</v>
      </c>
      <c r="AJ72" s="240" t="b">
        <f t="shared" ca="1" si="28"/>
        <v>1</v>
      </c>
      <c r="AK72" s="240">
        <f t="shared" ref="AK72:AK135" ca="1" si="32">IF(AJ72=TRUE,$AE$7,0)</f>
        <v>63801.225248500457</v>
      </c>
      <c r="AL72" s="240">
        <f t="shared" ref="AL72:AL135" ca="1" si="33">+IF(AG72&gt;=$N$3,$N$2,0)</f>
        <v>76363.675936010943</v>
      </c>
      <c r="AM72" s="240">
        <f t="shared" ref="AM72:AM135" ca="1" si="34">IF(AND(AK72=$AE$7,AL72=$AH$2),$AE$7,IF(AL72=$AH$2,$AH$2,IF(AK72=$AE$7,$AE$7,0)))</f>
        <v>63801.225248500457</v>
      </c>
      <c r="AN72" s="240">
        <f t="shared" ca="1" si="23"/>
        <v>3445266.1644190205</v>
      </c>
    </row>
    <row r="73" spans="9:40">
      <c r="I73" s="217">
        <f t="shared" ref="I73:I136" si="35">+I72+$J$4</f>
        <v>65.500000000000028</v>
      </c>
      <c r="J73" s="216">
        <f t="shared" ca="1" si="29"/>
        <v>62856.639291942876</v>
      </c>
      <c r="K73" s="216">
        <f t="shared" ref="K73:K136" ca="1" si="36">+J73+K72</f>
        <v>3457115.1610568604</v>
      </c>
      <c r="M73" s="217">
        <f t="shared" ref="M73:M136" si="37">+M72+$J$4</f>
        <v>65.500000000000028</v>
      </c>
      <c r="N73" s="217">
        <f t="shared" ca="1" si="26"/>
        <v>0</v>
      </c>
      <c r="O73" s="216">
        <f t="shared" ref="O73:O136" ca="1" si="38">+IF(M73&gt;=$N$3,$N$2,0)</f>
        <v>76363.675936010943</v>
      </c>
      <c r="P73" s="216">
        <f t="shared" ref="P73:P136" ca="1" si="39">+N73+O73+P72</f>
        <v>4025708.8275446366</v>
      </c>
      <c r="R73" s="217">
        <f t="shared" ref="R73:R136" si="40">+R72+$J$4</f>
        <v>65.500000000000028</v>
      </c>
      <c r="S73" s="240">
        <f t="shared" ca="1" si="30"/>
        <v>62856.639291942876</v>
      </c>
      <c r="T73" s="240">
        <f t="shared" ref="T73:T136" ca="1" si="41">+S73+T72</f>
        <v>3457115.1610568604</v>
      </c>
      <c r="V73" s="217">
        <f t="shared" ref="V73:V136" si="42">+V72+$J$4</f>
        <v>65.500000000000028</v>
      </c>
      <c r="W73" s="217">
        <f t="shared" ref="W73:W136" ca="1" si="43">+IF(AND($W$3&gt;=V74-0.02,$N$3&lt;=V74+0.02),$W$4,0)</f>
        <v>0</v>
      </c>
      <c r="X73" s="240">
        <f t="shared" ref="X73:X136" ca="1" si="44">+IF(V73&gt;=$N$3,$N$2,0)</f>
        <v>76363.675936010943</v>
      </c>
      <c r="Y73" s="240">
        <f t="shared" ref="Y73:Y136" ca="1" si="45">+W73+X73+Y72</f>
        <v>3998699.9306092714</v>
      </c>
      <c r="AA73" s="217">
        <f t="shared" ref="AA73:AA136" si="46">+AA72+$J$4</f>
        <v>65.500000000000028</v>
      </c>
      <c r="AB73" s="216">
        <f t="shared" ca="1" si="31"/>
        <v>62856.639291942876</v>
      </c>
      <c r="AC73" s="240">
        <f t="shared" ref="AC73:AC136" ca="1" si="47">+AB73+AC72</f>
        <v>3457115.1610568604</v>
      </c>
      <c r="AD73" s="216"/>
      <c r="AF73" s="210">
        <f>ROW()</f>
        <v>73</v>
      </c>
      <c r="AG73" s="217">
        <f t="shared" ref="AG73:AG136" si="48">+AG72+$J$4</f>
        <v>65.500000000000028</v>
      </c>
      <c r="AH73" s="217">
        <f t="shared" ca="1" si="27"/>
        <v>0</v>
      </c>
      <c r="AI73" s="217">
        <f ca="1">IF(AH72&lt;&gt;0,FINANCIAMIENTO!$F$5,0)</f>
        <v>0</v>
      </c>
      <c r="AJ73" s="240" t="b">
        <f t="shared" ca="1" si="28"/>
        <v>1</v>
      </c>
      <c r="AK73" s="240">
        <f t="shared" ca="1" si="32"/>
        <v>63801.225248500457</v>
      </c>
      <c r="AL73" s="240">
        <f t="shared" ca="1" si="33"/>
        <v>76363.675936010943</v>
      </c>
      <c r="AM73" s="240">
        <f t="shared" ca="1" si="34"/>
        <v>63801.225248500457</v>
      </c>
      <c r="AN73" s="240">
        <f t="shared" ref="AN73:AN136" ca="1" si="49">+AM73+AH73+AN72</f>
        <v>3509067.3896675208</v>
      </c>
    </row>
    <row r="74" spans="9:40">
      <c r="I74" s="217">
        <f t="shared" si="35"/>
        <v>65.583333333333357</v>
      </c>
      <c r="J74" s="216">
        <f t="shared" ca="1" si="29"/>
        <v>62856.639291942876</v>
      </c>
      <c r="K74" s="216">
        <f t="shared" ca="1" si="36"/>
        <v>3519971.8003488034</v>
      </c>
      <c r="M74" s="217">
        <f t="shared" si="37"/>
        <v>65.583333333333357</v>
      </c>
      <c r="N74" s="217">
        <f t="shared" ca="1" si="26"/>
        <v>0</v>
      </c>
      <c r="O74" s="216">
        <f t="shared" ca="1" si="38"/>
        <v>76363.675936010943</v>
      </c>
      <c r="P74" s="216">
        <f t="shared" ca="1" si="39"/>
        <v>4102072.5034806477</v>
      </c>
      <c r="R74" s="217">
        <f t="shared" si="40"/>
        <v>65.583333333333357</v>
      </c>
      <c r="S74" s="240">
        <f t="shared" ca="1" si="30"/>
        <v>62856.639291942876</v>
      </c>
      <c r="T74" s="240">
        <f t="shared" ca="1" si="41"/>
        <v>3519971.8003488034</v>
      </c>
      <c r="V74" s="217">
        <f t="shared" si="42"/>
        <v>65.583333333333357</v>
      </c>
      <c r="W74" s="217">
        <f t="shared" ca="1" si="43"/>
        <v>0</v>
      </c>
      <c r="X74" s="240">
        <f t="shared" ca="1" si="44"/>
        <v>76363.675936010943</v>
      </c>
      <c r="Y74" s="240">
        <f t="shared" ca="1" si="45"/>
        <v>4075063.6065452825</v>
      </c>
      <c r="AA74" s="217">
        <f t="shared" si="46"/>
        <v>65.583333333333357</v>
      </c>
      <c r="AB74" s="216">
        <f t="shared" ca="1" si="31"/>
        <v>62856.639291942876</v>
      </c>
      <c r="AC74" s="240">
        <f t="shared" ca="1" si="47"/>
        <v>3519971.8003488034</v>
      </c>
      <c r="AD74" s="216"/>
      <c r="AF74" s="210">
        <f>ROW()</f>
        <v>74</v>
      </c>
      <c r="AG74" s="217">
        <f t="shared" si="48"/>
        <v>65.583333333333357</v>
      </c>
      <c r="AH74" s="217">
        <f t="shared" ca="1" si="27"/>
        <v>0</v>
      </c>
      <c r="AI74" s="217">
        <f ca="1">IF(AH73&lt;&gt;0,FINANCIAMIENTO!$F$5,0)</f>
        <v>0</v>
      </c>
      <c r="AJ74" s="240" t="b">
        <f t="shared" ca="1" si="28"/>
        <v>0</v>
      </c>
      <c r="AK74" s="240">
        <f t="shared" ca="1" si="32"/>
        <v>0</v>
      </c>
      <c r="AL74" s="240">
        <f t="shared" ca="1" si="33"/>
        <v>76363.675936010943</v>
      </c>
      <c r="AM74" s="240">
        <f t="shared" ca="1" si="34"/>
        <v>76363.675936010943</v>
      </c>
      <c r="AN74" s="240">
        <f t="shared" ca="1" si="49"/>
        <v>3585431.0656035319</v>
      </c>
    </row>
    <row r="75" spans="9:40">
      <c r="I75" s="217">
        <f t="shared" si="35"/>
        <v>65.666666666666686</v>
      </c>
      <c r="J75" s="216">
        <f t="shared" ca="1" si="29"/>
        <v>62856.639291942876</v>
      </c>
      <c r="K75" s="216">
        <f t="shared" ca="1" si="36"/>
        <v>3582828.4396407465</v>
      </c>
      <c r="M75" s="217">
        <f t="shared" si="37"/>
        <v>65.666666666666686</v>
      </c>
      <c r="N75" s="217">
        <f t="shared" ca="1" si="26"/>
        <v>0</v>
      </c>
      <c r="O75" s="216">
        <f t="shared" ca="1" si="38"/>
        <v>76363.675936010943</v>
      </c>
      <c r="P75" s="216">
        <f t="shared" ca="1" si="39"/>
        <v>4178436.1794166588</v>
      </c>
      <c r="R75" s="217">
        <f t="shared" si="40"/>
        <v>65.666666666666686</v>
      </c>
      <c r="S75" s="240">
        <f t="shared" ca="1" si="30"/>
        <v>62856.639291942876</v>
      </c>
      <c r="T75" s="240">
        <f t="shared" ca="1" si="41"/>
        <v>3582828.4396407465</v>
      </c>
      <c r="V75" s="217">
        <f t="shared" si="42"/>
        <v>65.666666666666686</v>
      </c>
      <c r="W75" s="217">
        <f t="shared" ca="1" si="43"/>
        <v>0</v>
      </c>
      <c r="X75" s="240">
        <f t="shared" ca="1" si="44"/>
        <v>76363.675936010943</v>
      </c>
      <c r="Y75" s="240">
        <f t="shared" ca="1" si="45"/>
        <v>4151427.2824812937</v>
      </c>
      <c r="AA75" s="217">
        <f t="shared" si="46"/>
        <v>65.666666666666686</v>
      </c>
      <c r="AB75" s="216">
        <f t="shared" ca="1" si="31"/>
        <v>62856.639291942876</v>
      </c>
      <c r="AC75" s="240">
        <f t="shared" ca="1" si="47"/>
        <v>3582828.4396407465</v>
      </c>
      <c r="AD75" s="216"/>
      <c r="AF75" s="210">
        <f>ROW()</f>
        <v>75</v>
      </c>
      <c r="AG75" s="217">
        <f t="shared" si="48"/>
        <v>65.666666666666686</v>
      </c>
      <c r="AH75" s="217">
        <f t="shared" ca="1" si="27"/>
        <v>0</v>
      </c>
      <c r="AI75" s="217">
        <f ca="1">IF(AH74&lt;&gt;0,FINANCIAMIENTO!$F$5,0)</f>
        <v>0</v>
      </c>
      <c r="AJ75" s="240" t="b">
        <f t="shared" ca="1" si="28"/>
        <v>0</v>
      </c>
      <c r="AK75" s="240">
        <f t="shared" ca="1" si="32"/>
        <v>0</v>
      </c>
      <c r="AL75" s="240">
        <f t="shared" ca="1" si="33"/>
        <v>76363.675936010943</v>
      </c>
      <c r="AM75" s="240">
        <f t="shared" ca="1" si="34"/>
        <v>76363.675936010943</v>
      </c>
      <c r="AN75" s="240">
        <f t="shared" ca="1" si="49"/>
        <v>3661794.741539543</v>
      </c>
    </row>
    <row r="76" spans="9:40">
      <c r="I76" s="217">
        <f t="shared" si="35"/>
        <v>65.750000000000014</v>
      </c>
      <c r="J76" s="216">
        <f t="shared" ca="1" si="29"/>
        <v>62856.639291942876</v>
      </c>
      <c r="K76" s="216">
        <f t="shared" ca="1" si="36"/>
        <v>3645685.0789326895</v>
      </c>
      <c r="M76" s="217">
        <f t="shared" si="37"/>
        <v>65.750000000000014</v>
      </c>
      <c r="N76" s="217">
        <f t="shared" ca="1" si="26"/>
        <v>0</v>
      </c>
      <c r="O76" s="216">
        <f t="shared" ca="1" si="38"/>
        <v>76363.675936010943</v>
      </c>
      <c r="P76" s="216">
        <f t="shared" ca="1" si="39"/>
        <v>4254799.85535267</v>
      </c>
      <c r="R76" s="217">
        <f t="shared" si="40"/>
        <v>65.750000000000014</v>
      </c>
      <c r="S76" s="240">
        <f t="shared" ca="1" si="30"/>
        <v>62856.639291942876</v>
      </c>
      <c r="T76" s="240">
        <f t="shared" ca="1" si="41"/>
        <v>3645685.0789326895</v>
      </c>
      <c r="V76" s="217">
        <f t="shared" si="42"/>
        <v>65.750000000000014</v>
      </c>
      <c r="W76" s="217">
        <f t="shared" ca="1" si="43"/>
        <v>0</v>
      </c>
      <c r="X76" s="240">
        <f t="shared" ca="1" si="44"/>
        <v>76363.675936010943</v>
      </c>
      <c r="Y76" s="240">
        <f t="shared" ca="1" si="45"/>
        <v>4227790.9584173048</v>
      </c>
      <c r="AA76" s="217">
        <f t="shared" si="46"/>
        <v>65.750000000000014</v>
      </c>
      <c r="AB76" s="216">
        <f t="shared" ca="1" si="31"/>
        <v>62856.639291942876</v>
      </c>
      <c r="AC76" s="240">
        <f t="shared" ca="1" si="47"/>
        <v>3645685.0789326895</v>
      </c>
      <c r="AD76" s="216"/>
      <c r="AF76" s="210">
        <f>ROW()</f>
        <v>76</v>
      </c>
      <c r="AG76" s="217">
        <f t="shared" si="48"/>
        <v>65.750000000000014</v>
      </c>
      <c r="AH76" s="217">
        <f t="shared" ca="1" si="27"/>
        <v>0</v>
      </c>
      <c r="AI76" s="217">
        <f ca="1">IF(AH75&lt;&gt;0,FINANCIAMIENTO!$F$5,0)</f>
        <v>0</v>
      </c>
      <c r="AJ76" s="240" t="b">
        <f t="shared" ca="1" si="28"/>
        <v>0</v>
      </c>
      <c r="AK76" s="240">
        <f t="shared" ca="1" si="32"/>
        <v>0</v>
      </c>
      <c r="AL76" s="240">
        <f t="shared" ca="1" si="33"/>
        <v>76363.675936010943</v>
      </c>
      <c r="AM76" s="240">
        <f t="shared" ca="1" si="34"/>
        <v>76363.675936010943</v>
      </c>
      <c r="AN76" s="240">
        <f t="shared" ca="1" si="49"/>
        <v>3738158.4174755542</v>
      </c>
    </row>
    <row r="77" spans="9:40">
      <c r="I77" s="217">
        <f t="shared" si="35"/>
        <v>65.833333333333343</v>
      </c>
      <c r="J77" s="216">
        <f t="shared" ca="1" si="29"/>
        <v>62856.639291942876</v>
      </c>
      <c r="K77" s="216">
        <f t="shared" ca="1" si="36"/>
        <v>3708541.7182246326</v>
      </c>
      <c r="M77" s="217">
        <f t="shared" si="37"/>
        <v>65.833333333333343</v>
      </c>
      <c r="N77" s="217">
        <f t="shared" ca="1" si="26"/>
        <v>0</v>
      </c>
      <c r="O77" s="216">
        <f t="shared" ca="1" si="38"/>
        <v>76363.675936010943</v>
      </c>
      <c r="P77" s="216">
        <f t="shared" ca="1" si="39"/>
        <v>4331163.5312886806</v>
      </c>
      <c r="R77" s="217">
        <f t="shared" si="40"/>
        <v>65.833333333333343</v>
      </c>
      <c r="S77" s="240">
        <f t="shared" ca="1" si="30"/>
        <v>62856.639291942876</v>
      </c>
      <c r="T77" s="240">
        <f t="shared" ca="1" si="41"/>
        <v>3708541.7182246326</v>
      </c>
      <c r="V77" s="217">
        <f t="shared" si="42"/>
        <v>65.833333333333343</v>
      </c>
      <c r="W77" s="217">
        <f t="shared" ca="1" si="43"/>
        <v>0</v>
      </c>
      <c r="X77" s="240">
        <f t="shared" ca="1" si="44"/>
        <v>76363.675936010943</v>
      </c>
      <c r="Y77" s="240">
        <f t="shared" ca="1" si="45"/>
        <v>4304154.6343533155</v>
      </c>
      <c r="AA77" s="217">
        <f t="shared" si="46"/>
        <v>65.833333333333343</v>
      </c>
      <c r="AB77" s="216">
        <f t="shared" ca="1" si="31"/>
        <v>62856.639291942876</v>
      </c>
      <c r="AC77" s="240">
        <f t="shared" ca="1" si="47"/>
        <v>3708541.7182246326</v>
      </c>
      <c r="AD77" s="216"/>
      <c r="AF77" s="210">
        <f>ROW()</f>
        <v>77</v>
      </c>
      <c r="AG77" s="217">
        <f t="shared" si="48"/>
        <v>65.833333333333343</v>
      </c>
      <c r="AH77" s="217">
        <f t="shared" ca="1" si="27"/>
        <v>0</v>
      </c>
      <c r="AI77" s="217">
        <f ca="1">IF(AH76&lt;&gt;0,FINANCIAMIENTO!$F$5,0)</f>
        <v>0</v>
      </c>
      <c r="AJ77" s="240" t="b">
        <f t="shared" ca="1" si="28"/>
        <v>0</v>
      </c>
      <c r="AK77" s="240">
        <f t="shared" ca="1" si="32"/>
        <v>0</v>
      </c>
      <c r="AL77" s="240">
        <f t="shared" ca="1" si="33"/>
        <v>76363.675936010943</v>
      </c>
      <c r="AM77" s="240">
        <f t="shared" ca="1" si="34"/>
        <v>76363.675936010943</v>
      </c>
      <c r="AN77" s="240">
        <f t="shared" ca="1" si="49"/>
        <v>3814522.0934115653</v>
      </c>
    </row>
    <row r="78" spans="9:40">
      <c r="I78" s="217">
        <f t="shared" si="35"/>
        <v>65.916666666666671</v>
      </c>
      <c r="J78" s="216">
        <f t="shared" ca="1" si="29"/>
        <v>62856.639291942876</v>
      </c>
      <c r="K78" s="216">
        <f t="shared" ca="1" si="36"/>
        <v>3771398.3575165756</v>
      </c>
      <c r="M78" s="217">
        <f t="shared" si="37"/>
        <v>65.916666666666671</v>
      </c>
      <c r="N78" s="217">
        <f t="shared" ca="1" si="26"/>
        <v>0</v>
      </c>
      <c r="O78" s="216">
        <f t="shared" ca="1" si="38"/>
        <v>76363.675936010943</v>
      </c>
      <c r="P78" s="216">
        <f t="shared" ca="1" si="39"/>
        <v>4407527.2072246913</v>
      </c>
      <c r="R78" s="217">
        <f t="shared" si="40"/>
        <v>65.916666666666671</v>
      </c>
      <c r="S78" s="240">
        <f t="shared" ca="1" si="30"/>
        <v>62856.639291942876</v>
      </c>
      <c r="T78" s="240">
        <f t="shared" ca="1" si="41"/>
        <v>3771398.3575165756</v>
      </c>
      <c r="V78" s="217">
        <f t="shared" si="42"/>
        <v>65.916666666666671</v>
      </c>
      <c r="W78" s="217">
        <f t="shared" ca="1" si="43"/>
        <v>0</v>
      </c>
      <c r="X78" s="240">
        <f t="shared" ca="1" si="44"/>
        <v>76363.675936010943</v>
      </c>
      <c r="Y78" s="240">
        <f t="shared" ca="1" si="45"/>
        <v>4380518.3102893261</v>
      </c>
      <c r="AA78" s="217">
        <f t="shared" si="46"/>
        <v>65.916666666666671</v>
      </c>
      <c r="AB78" s="216">
        <f t="shared" ca="1" si="31"/>
        <v>62856.639291942876</v>
      </c>
      <c r="AC78" s="240">
        <f t="shared" ca="1" si="47"/>
        <v>3771398.3575165756</v>
      </c>
      <c r="AD78" s="216"/>
      <c r="AF78" s="210">
        <f>ROW()</f>
        <v>78</v>
      </c>
      <c r="AG78" s="217">
        <f t="shared" si="48"/>
        <v>65.916666666666671</v>
      </c>
      <c r="AH78" s="217">
        <f t="shared" ca="1" si="27"/>
        <v>0</v>
      </c>
      <c r="AI78" s="217">
        <f ca="1">IF(AH77&lt;&gt;0,FINANCIAMIENTO!$F$5,0)</f>
        <v>0</v>
      </c>
      <c r="AJ78" s="240" t="b">
        <f t="shared" ca="1" si="28"/>
        <v>0</v>
      </c>
      <c r="AK78" s="240">
        <f t="shared" ca="1" si="32"/>
        <v>0</v>
      </c>
      <c r="AL78" s="240">
        <f t="shared" ca="1" si="33"/>
        <v>76363.675936010943</v>
      </c>
      <c r="AM78" s="240">
        <f t="shared" ca="1" si="34"/>
        <v>76363.675936010943</v>
      </c>
      <c r="AN78" s="240">
        <f t="shared" ca="1" si="49"/>
        <v>3890885.7693475764</v>
      </c>
    </row>
    <row r="79" spans="9:40">
      <c r="I79" s="217">
        <f t="shared" si="35"/>
        <v>66</v>
      </c>
      <c r="J79" s="216">
        <f t="shared" ca="1" si="29"/>
        <v>62856.639291942876</v>
      </c>
      <c r="K79" s="216">
        <f t="shared" ca="1" si="36"/>
        <v>3834254.9968085187</v>
      </c>
      <c r="M79" s="217">
        <f t="shared" si="37"/>
        <v>66</v>
      </c>
      <c r="N79" s="217">
        <f t="shared" ca="1" si="26"/>
        <v>0</v>
      </c>
      <c r="O79" s="216">
        <f t="shared" ca="1" si="38"/>
        <v>76363.675936010943</v>
      </c>
      <c r="P79" s="216">
        <f t="shared" ca="1" si="39"/>
        <v>4483890.883160702</v>
      </c>
      <c r="R79" s="217">
        <f t="shared" si="40"/>
        <v>66</v>
      </c>
      <c r="S79" s="240">
        <f t="shared" ca="1" si="30"/>
        <v>62856.639291942876</v>
      </c>
      <c r="T79" s="240">
        <f t="shared" ca="1" si="41"/>
        <v>3834254.9968085187</v>
      </c>
      <c r="V79" s="217">
        <f t="shared" si="42"/>
        <v>66</v>
      </c>
      <c r="W79" s="217">
        <f t="shared" ca="1" si="43"/>
        <v>0</v>
      </c>
      <c r="X79" s="240">
        <f t="shared" ca="1" si="44"/>
        <v>76363.675936010943</v>
      </c>
      <c r="Y79" s="240">
        <f t="shared" ca="1" si="45"/>
        <v>4456881.9862253368</v>
      </c>
      <c r="AA79" s="217">
        <f t="shared" si="46"/>
        <v>66</v>
      </c>
      <c r="AB79" s="216">
        <f t="shared" ca="1" si="31"/>
        <v>62856.639291942876</v>
      </c>
      <c r="AC79" s="240">
        <f t="shared" ca="1" si="47"/>
        <v>3834254.9968085187</v>
      </c>
      <c r="AD79" s="216"/>
      <c r="AF79" s="210">
        <f>ROW()</f>
        <v>79</v>
      </c>
      <c r="AG79" s="217">
        <f t="shared" si="48"/>
        <v>66</v>
      </c>
      <c r="AH79" s="217">
        <f t="shared" ca="1" si="27"/>
        <v>0</v>
      </c>
      <c r="AI79" s="217">
        <f ca="1">IF(AH78&lt;&gt;0,FINANCIAMIENTO!$F$5,0)</f>
        <v>0</v>
      </c>
      <c r="AJ79" s="240" t="b">
        <f ca="1">AND(
   ROW(AF79)-ROW(AF$7)+1 &gt;= MATCH($AE$7,$AI$7:$AI$187,0),
   ROW(AF79)-ROW(AF$7)+1 &lt;= MATCH($AE$7,$AI$7:$AI$187,0)+54
)</f>
        <v>0</v>
      </c>
      <c r="AK79" s="240">
        <f t="shared" ca="1" si="32"/>
        <v>0</v>
      </c>
      <c r="AL79" s="240">
        <f t="shared" ca="1" si="33"/>
        <v>76363.675936010943</v>
      </c>
      <c r="AM79" s="240">
        <f t="shared" ca="1" si="34"/>
        <v>76363.675936010943</v>
      </c>
      <c r="AN79" s="240">
        <f t="shared" ca="1" si="49"/>
        <v>3967249.4452835876</v>
      </c>
    </row>
    <row r="80" spans="9:40">
      <c r="I80" s="217">
        <f t="shared" si="35"/>
        <v>66.083333333333329</v>
      </c>
      <c r="J80" s="216">
        <f t="shared" ca="1" si="29"/>
        <v>62856.639291942876</v>
      </c>
      <c r="K80" s="216">
        <f t="shared" ca="1" si="36"/>
        <v>3897111.6361004617</v>
      </c>
      <c r="M80" s="217">
        <f t="shared" si="37"/>
        <v>66.083333333333329</v>
      </c>
      <c r="N80" s="217">
        <f t="shared" ca="1" si="26"/>
        <v>0</v>
      </c>
      <c r="O80" s="216">
        <f t="shared" ca="1" si="38"/>
        <v>76363.675936010943</v>
      </c>
      <c r="P80" s="216">
        <f t="shared" ca="1" si="39"/>
        <v>4560254.5590967126</v>
      </c>
      <c r="R80" s="217">
        <f t="shared" si="40"/>
        <v>66.083333333333329</v>
      </c>
      <c r="S80" s="240">
        <f t="shared" ca="1" si="30"/>
        <v>62856.639291942876</v>
      </c>
      <c r="T80" s="240">
        <f t="shared" ca="1" si="41"/>
        <v>3897111.6361004617</v>
      </c>
      <c r="V80" s="217">
        <f t="shared" si="42"/>
        <v>66.083333333333329</v>
      </c>
      <c r="W80" s="217">
        <f t="shared" ca="1" si="43"/>
        <v>0</v>
      </c>
      <c r="X80" s="240">
        <f t="shared" ca="1" si="44"/>
        <v>76363.675936010943</v>
      </c>
      <c r="Y80" s="240">
        <f t="shared" ca="1" si="45"/>
        <v>4533245.6621613475</v>
      </c>
      <c r="AA80" s="217">
        <f t="shared" si="46"/>
        <v>66.083333333333329</v>
      </c>
      <c r="AB80" s="216">
        <f t="shared" ca="1" si="31"/>
        <v>62856.639291942876</v>
      </c>
      <c r="AC80" s="240">
        <f t="shared" ca="1" si="47"/>
        <v>3897111.6361004617</v>
      </c>
      <c r="AD80" s="216"/>
      <c r="AF80" s="210">
        <f>ROW()</f>
        <v>80</v>
      </c>
      <c r="AG80" s="217">
        <f t="shared" si="48"/>
        <v>66.083333333333329</v>
      </c>
      <c r="AH80" s="217">
        <f t="shared" ca="1" si="27"/>
        <v>0</v>
      </c>
      <c r="AI80" s="217">
        <f ca="1">IF(AH79&lt;&gt;0,FINANCIAMIENTO!$F$5,0)</f>
        <v>0</v>
      </c>
      <c r="AJ80" s="240" t="b">
        <f t="shared" ref="AJ80:AJ143" ca="1" si="50">AND(
   ROW(AF80)-ROW(AF$7)+1 &gt;= MATCH($AE$7,$AI$7:$AI$187,0),
   ROW(AF80)-ROW(AF$7)+1 &lt;= MATCH($AE$7,$AI$7:$AI$187,0)+54
)</f>
        <v>0</v>
      </c>
      <c r="AK80" s="240">
        <f t="shared" ca="1" si="32"/>
        <v>0</v>
      </c>
      <c r="AL80" s="240">
        <f t="shared" ca="1" si="33"/>
        <v>76363.675936010943</v>
      </c>
      <c r="AM80" s="240">
        <f t="shared" ca="1" si="34"/>
        <v>76363.675936010943</v>
      </c>
      <c r="AN80" s="240">
        <f t="shared" ca="1" si="49"/>
        <v>4043613.1212195987</v>
      </c>
    </row>
    <row r="81" spans="9:40">
      <c r="I81" s="217">
        <f t="shared" si="35"/>
        <v>66.166666666666657</v>
      </c>
      <c r="J81" s="216">
        <f t="shared" ca="1" si="29"/>
        <v>62856.639291942876</v>
      </c>
      <c r="K81" s="216">
        <f t="shared" ca="1" si="36"/>
        <v>3959968.2753924048</v>
      </c>
      <c r="M81" s="217">
        <f t="shared" si="37"/>
        <v>66.166666666666657</v>
      </c>
      <c r="N81" s="217">
        <f t="shared" ca="1" si="26"/>
        <v>0</v>
      </c>
      <c r="O81" s="216">
        <f t="shared" ca="1" si="38"/>
        <v>76363.675936010943</v>
      </c>
      <c r="P81" s="216">
        <f t="shared" ca="1" si="39"/>
        <v>4636618.2350327233</v>
      </c>
      <c r="R81" s="217">
        <f t="shared" si="40"/>
        <v>66.166666666666657</v>
      </c>
      <c r="S81" s="240">
        <f t="shared" ca="1" si="30"/>
        <v>62856.639291942876</v>
      </c>
      <c r="T81" s="240">
        <f t="shared" ca="1" si="41"/>
        <v>3959968.2753924048</v>
      </c>
      <c r="V81" s="217">
        <f t="shared" si="42"/>
        <v>66.166666666666657</v>
      </c>
      <c r="W81" s="217">
        <f t="shared" ca="1" si="43"/>
        <v>0</v>
      </c>
      <c r="X81" s="240">
        <f t="shared" ca="1" si="44"/>
        <v>76363.675936010943</v>
      </c>
      <c r="Y81" s="240">
        <f t="shared" ca="1" si="45"/>
        <v>4609609.3380973581</v>
      </c>
      <c r="AA81" s="217">
        <f t="shared" si="46"/>
        <v>66.166666666666657</v>
      </c>
      <c r="AB81" s="216">
        <f t="shared" ca="1" si="31"/>
        <v>62856.639291942876</v>
      </c>
      <c r="AC81" s="240">
        <f t="shared" ca="1" si="47"/>
        <v>3959968.2753924048</v>
      </c>
      <c r="AD81" s="216"/>
      <c r="AF81" s="210">
        <f>ROW()</f>
        <v>81</v>
      </c>
      <c r="AG81" s="217">
        <f t="shared" si="48"/>
        <v>66.166666666666657</v>
      </c>
      <c r="AH81" s="217">
        <f t="shared" ca="1" si="27"/>
        <v>0</v>
      </c>
      <c r="AI81" s="217">
        <f ca="1">IF(AH80&lt;&gt;0,FINANCIAMIENTO!$F$5,0)</f>
        <v>0</v>
      </c>
      <c r="AJ81" s="240" t="b">
        <f t="shared" ca="1" si="50"/>
        <v>0</v>
      </c>
      <c r="AK81" s="240">
        <f t="shared" ca="1" si="32"/>
        <v>0</v>
      </c>
      <c r="AL81" s="240">
        <f t="shared" ca="1" si="33"/>
        <v>76363.675936010943</v>
      </c>
      <c r="AM81" s="240">
        <f t="shared" ca="1" si="34"/>
        <v>76363.675936010943</v>
      </c>
      <c r="AN81" s="240">
        <f t="shared" ca="1" si="49"/>
        <v>4119976.7971556098</v>
      </c>
    </row>
    <row r="82" spans="9:40">
      <c r="I82" s="217">
        <f t="shared" si="35"/>
        <v>66.249999999999986</v>
      </c>
      <c r="J82" s="216">
        <f t="shared" ca="1" si="29"/>
        <v>62856.639291942876</v>
      </c>
      <c r="K82" s="216">
        <f t="shared" ca="1" si="36"/>
        <v>4022824.9146843478</v>
      </c>
      <c r="M82" s="217">
        <f t="shared" si="37"/>
        <v>66.249999999999986</v>
      </c>
      <c r="N82" s="217">
        <f t="shared" ca="1" si="26"/>
        <v>0</v>
      </c>
      <c r="O82" s="216">
        <f t="shared" ca="1" si="38"/>
        <v>76363.675936010943</v>
      </c>
      <c r="P82" s="216">
        <f t="shared" ca="1" si="39"/>
        <v>4712981.910968734</v>
      </c>
      <c r="R82" s="217">
        <f t="shared" si="40"/>
        <v>66.249999999999986</v>
      </c>
      <c r="S82" s="240">
        <f t="shared" ca="1" si="30"/>
        <v>62856.639291942876</v>
      </c>
      <c r="T82" s="240">
        <f t="shared" ca="1" si="41"/>
        <v>4022824.9146843478</v>
      </c>
      <c r="V82" s="217">
        <f t="shared" si="42"/>
        <v>66.249999999999986</v>
      </c>
      <c r="W82" s="217">
        <f t="shared" ca="1" si="43"/>
        <v>0</v>
      </c>
      <c r="X82" s="240">
        <f t="shared" ca="1" si="44"/>
        <v>76363.675936010943</v>
      </c>
      <c r="Y82" s="240">
        <f t="shared" ca="1" si="45"/>
        <v>4685973.0140333688</v>
      </c>
      <c r="AA82" s="217">
        <f t="shared" si="46"/>
        <v>66.249999999999986</v>
      </c>
      <c r="AB82" s="216">
        <f t="shared" ca="1" si="31"/>
        <v>62856.639291942876</v>
      </c>
      <c r="AC82" s="240">
        <f t="shared" ca="1" si="47"/>
        <v>4022824.9146843478</v>
      </c>
      <c r="AD82" s="216"/>
      <c r="AF82" s="210">
        <f>ROW()</f>
        <v>82</v>
      </c>
      <c r="AG82" s="217">
        <f t="shared" si="48"/>
        <v>66.249999999999986</v>
      </c>
      <c r="AH82" s="217">
        <f t="shared" ca="1" si="27"/>
        <v>0</v>
      </c>
      <c r="AI82" s="217">
        <f ca="1">IF(AH81&lt;&gt;0,FINANCIAMIENTO!$F$5,0)</f>
        <v>0</v>
      </c>
      <c r="AJ82" s="240" t="b">
        <f t="shared" ca="1" si="50"/>
        <v>0</v>
      </c>
      <c r="AK82" s="240">
        <f t="shared" ca="1" si="32"/>
        <v>0</v>
      </c>
      <c r="AL82" s="240">
        <f t="shared" ca="1" si="33"/>
        <v>76363.675936010943</v>
      </c>
      <c r="AM82" s="240">
        <f t="shared" ca="1" si="34"/>
        <v>76363.675936010943</v>
      </c>
      <c r="AN82" s="240">
        <f t="shared" ca="1" si="49"/>
        <v>4196340.473091621</v>
      </c>
    </row>
    <row r="83" spans="9:40">
      <c r="I83" s="217">
        <f t="shared" si="35"/>
        <v>66.333333333333314</v>
      </c>
      <c r="J83" s="216">
        <f t="shared" ca="1" si="29"/>
        <v>62856.639291942876</v>
      </c>
      <c r="K83" s="216">
        <f t="shared" ca="1" si="36"/>
        <v>4085681.5539762909</v>
      </c>
      <c r="M83" s="217">
        <f t="shared" si="37"/>
        <v>66.333333333333314</v>
      </c>
      <c r="N83" s="217">
        <f t="shared" ca="1" si="26"/>
        <v>0</v>
      </c>
      <c r="O83" s="216">
        <f t="shared" ca="1" si="38"/>
        <v>76363.675936010943</v>
      </c>
      <c r="P83" s="216">
        <f t="shared" ca="1" si="39"/>
        <v>4789345.5869047446</v>
      </c>
      <c r="R83" s="217">
        <f t="shared" si="40"/>
        <v>66.333333333333314</v>
      </c>
      <c r="S83" s="240">
        <f t="shared" ca="1" si="30"/>
        <v>62856.639291942876</v>
      </c>
      <c r="T83" s="240">
        <f t="shared" ca="1" si="41"/>
        <v>4085681.5539762909</v>
      </c>
      <c r="V83" s="217">
        <f t="shared" si="42"/>
        <v>66.333333333333314</v>
      </c>
      <c r="W83" s="217">
        <f t="shared" ca="1" si="43"/>
        <v>0</v>
      </c>
      <c r="X83" s="240">
        <f t="shared" ca="1" si="44"/>
        <v>76363.675936010943</v>
      </c>
      <c r="Y83" s="240">
        <f t="shared" ca="1" si="45"/>
        <v>4762336.6899693795</v>
      </c>
      <c r="AA83" s="217">
        <f t="shared" si="46"/>
        <v>66.333333333333314</v>
      </c>
      <c r="AB83" s="216">
        <f t="shared" ca="1" si="31"/>
        <v>62856.639291942876</v>
      </c>
      <c r="AC83" s="240">
        <f t="shared" ca="1" si="47"/>
        <v>4085681.5539762909</v>
      </c>
      <c r="AD83" s="216"/>
      <c r="AF83" s="210">
        <f>ROW()</f>
        <v>83</v>
      </c>
      <c r="AG83" s="217">
        <f t="shared" si="48"/>
        <v>66.333333333333314</v>
      </c>
      <c r="AH83" s="217">
        <f t="shared" ca="1" si="27"/>
        <v>0</v>
      </c>
      <c r="AI83" s="217">
        <f ca="1">IF(AH82&lt;&gt;0,FINANCIAMIENTO!$F$5,0)</f>
        <v>0</v>
      </c>
      <c r="AJ83" s="240" t="b">
        <f t="shared" ca="1" si="50"/>
        <v>0</v>
      </c>
      <c r="AK83" s="240">
        <f t="shared" ca="1" si="32"/>
        <v>0</v>
      </c>
      <c r="AL83" s="240">
        <f t="shared" ca="1" si="33"/>
        <v>76363.675936010943</v>
      </c>
      <c r="AM83" s="240">
        <f t="shared" ca="1" si="34"/>
        <v>76363.675936010943</v>
      </c>
      <c r="AN83" s="240">
        <f t="shared" ca="1" si="49"/>
        <v>4272704.1490276316</v>
      </c>
    </row>
    <row r="84" spans="9:40">
      <c r="I84" s="217">
        <f t="shared" si="35"/>
        <v>66.416666666666643</v>
      </c>
      <c r="J84" s="216">
        <f t="shared" ca="1" si="29"/>
        <v>62856.639291942876</v>
      </c>
      <c r="K84" s="216">
        <f t="shared" ca="1" si="36"/>
        <v>4148538.1932682339</v>
      </c>
      <c r="M84" s="217">
        <f t="shared" si="37"/>
        <v>66.416666666666643</v>
      </c>
      <c r="N84" s="217">
        <f t="shared" ca="1" si="26"/>
        <v>0</v>
      </c>
      <c r="O84" s="216">
        <f t="shared" ca="1" si="38"/>
        <v>76363.675936010943</v>
      </c>
      <c r="P84" s="216">
        <f t="shared" ca="1" si="39"/>
        <v>4865709.2628407553</v>
      </c>
      <c r="R84" s="217">
        <f t="shared" si="40"/>
        <v>66.416666666666643</v>
      </c>
      <c r="S84" s="240">
        <f t="shared" ca="1" si="30"/>
        <v>62856.639291942876</v>
      </c>
      <c r="T84" s="240">
        <f t="shared" ca="1" si="41"/>
        <v>4148538.1932682339</v>
      </c>
      <c r="V84" s="217">
        <f t="shared" si="42"/>
        <v>66.416666666666643</v>
      </c>
      <c r="W84" s="217">
        <f t="shared" ca="1" si="43"/>
        <v>0</v>
      </c>
      <c r="X84" s="240">
        <f t="shared" ca="1" si="44"/>
        <v>76363.675936010943</v>
      </c>
      <c r="Y84" s="240">
        <f t="shared" ca="1" si="45"/>
        <v>4838700.3659053901</v>
      </c>
      <c r="AA84" s="217">
        <f t="shared" si="46"/>
        <v>66.416666666666643</v>
      </c>
      <c r="AB84" s="216">
        <f t="shared" ca="1" si="31"/>
        <v>62856.639291942876</v>
      </c>
      <c r="AC84" s="240">
        <f t="shared" ca="1" si="47"/>
        <v>4148538.1932682339</v>
      </c>
      <c r="AD84" s="216"/>
      <c r="AF84" s="210">
        <f>ROW()</f>
        <v>84</v>
      </c>
      <c r="AG84" s="217">
        <f t="shared" si="48"/>
        <v>66.416666666666643</v>
      </c>
      <c r="AH84" s="217">
        <f t="shared" ca="1" si="27"/>
        <v>0</v>
      </c>
      <c r="AI84" s="217">
        <f ca="1">IF(AH83&lt;&gt;0,FINANCIAMIENTO!$F$5,0)</f>
        <v>0</v>
      </c>
      <c r="AJ84" s="240" t="b">
        <f t="shared" ca="1" si="50"/>
        <v>0</v>
      </c>
      <c r="AK84" s="240">
        <f t="shared" ca="1" si="32"/>
        <v>0</v>
      </c>
      <c r="AL84" s="240">
        <f t="shared" ca="1" si="33"/>
        <v>76363.675936010943</v>
      </c>
      <c r="AM84" s="240">
        <f t="shared" ca="1" si="34"/>
        <v>76363.675936010943</v>
      </c>
      <c r="AN84" s="240">
        <f t="shared" ca="1" si="49"/>
        <v>4349067.8249636423</v>
      </c>
    </row>
    <row r="85" spans="9:40">
      <c r="I85" s="217">
        <f t="shared" si="35"/>
        <v>66.499999999999972</v>
      </c>
      <c r="J85" s="216">
        <f t="shared" ca="1" si="29"/>
        <v>62856.639291942876</v>
      </c>
      <c r="K85" s="216">
        <f t="shared" ca="1" si="36"/>
        <v>4211394.832560177</v>
      </c>
      <c r="M85" s="217">
        <f t="shared" si="37"/>
        <v>66.499999999999972</v>
      </c>
      <c r="N85" s="217">
        <f t="shared" ca="1" si="26"/>
        <v>0</v>
      </c>
      <c r="O85" s="216">
        <f t="shared" ca="1" si="38"/>
        <v>76363.675936010943</v>
      </c>
      <c r="P85" s="216">
        <f t="shared" ca="1" si="39"/>
        <v>4942072.938776766</v>
      </c>
      <c r="R85" s="217">
        <f t="shared" si="40"/>
        <v>66.499999999999972</v>
      </c>
      <c r="S85" s="240">
        <f t="shared" ca="1" si="30"/>
        <v>62856.639291942876</v>
      </c>
      <c r="T85" s="240">
        <f t="shared" ca="1" si="41"/>
        <v>4211394.832560177</v>
      </c>
      <c r="V85" s="217">
        <f t="shared" si="42"/>
        <v>66.499999999999972</v>
      </c>
      <c r="W85" s="217">
        <f t="shared" ca="1" si="43"/>
        <v>0</v>
      </c>
      <c r="X85" s="240">
        <f t="shared" ca="1" si="44"/>
        <v>76363.675936010943</v>
      </c>
      <c r="Y85" s="240">
        <f t="shared" ca="1" si="45"/>
        <v>4915064.0418414008</v>
      </c>
      <c r="AA85" s="217">
        <f t="shared" si="46"/>
        <v>66.499999999999972</v>
      </c>
      <c r="AB85" s="216">
        <f t="shared" ca="1" si="31"/>
        <v>62856.639291942876</v>
      </c>
      <c r="AC85" s="240">
        <f t="shared" ca="1" si="47"/>
        <v>4211394.832560177</v>
      </c>
      <c r="AD85" s="216"/>
      <c r="AF85" s="210">
        <f>ROW()</f>
        <v>85</v>
      </c>
      <c r="AG85" s="217">
        <f t="shared" si="48"/>
        <v>66.499999999999972</v>
      </c>
      <c r="AH85" s="217">
        <f t="shared" ca="1" si="27"/>
        <v>0</v>
      </c>
      <c r="AI85" s="217">
        <f ca="1">IF(AH84&lt;&gt;0,FINANCIAMIENTO!$F$5,0)</f>
        <v>0</v>
      </c>
      <c r="AJ85" s="240" t="b">
        <f t="shared" ca="1" si="50"/>
        <v>0</v>
      </c>
      <c r="AK85" s="240">
        <f t="shared" ca="1" si="32"/>
        <v>0</v>
      </c>
      <c r="AL85" s="240">
        <f t="shared" ca="1" si="33"/>
        <v>76363.675936010943</v>
      </c>
      <c r="AM85" s="240">
        <f t="shared" ca="1" si="34"/>
        <v>76363.675936010943</v>
      </c>
      <c r="AN85" s="240">
        <f t="shared" ca="1" si="49"/>
        <v>4425431.500899653</v>
      </c>
    </row>
    <row r="86" spans="9:40">
      <c r="I86" s="217">
        <f t="shared" si="35"/>
        <v>66.5833333333333</v>
      </c>
      <c r="J86" s="216">
        <f t="shared" ca="1" si="29"/>
        <v>62856.639291942876</v>
      </c>
      <c r="K86" s="216">
        <f t="shared" ca="1" si="36"/>
        <v>4274251.47185212</v>
      </c>
      <c r="M86" s="217">
        <f t="shared" si="37"/>
        <v>66.5833333333333</v>
      </c>
      <c r="N86" s="217">
        <f t="shared" ca="1" si="26"/>
        <v>0</v>
      </c>
      <c r="O86" s="216">
        <f t="shared" ca="1" si="38"/>
        <v>76363.675936010943</v>
      </c>
      <c r="P86" s="216">
        <f t="shared" ca="1" si="39"/>
        <v>5018436.6147127766</v>
      </c>
      <c r="R86" s="217">
        <f t="shared" si="40"/>
        <v>66.5833333333333</v>
      </c>
      <c r="S86" s="240">
        <f t="shared" ca="1" si="30"/>
        <v>62856.639291942876</v>
      </c>
      <c r="T86" s="240">
        <f t="shared" ca="1" si="41"/>
        <v>4274251.47185212</v>
      </c>
      <c r="V86" s="217">
        <f t="shared" si="42"/>
        <v>66.5833333333333</v>
      </c>
      <c r="W86" s="217">
        <f t="shared" ca="1" si="43"/>
        <v>0</v>
      </c>
      <c r="X86" s="240">
        <f t="shared" ca="1" si="44"/>
        <v>76363.675936010943</v>
      </c>
      <c r="Y86" s="240">
        <f t="shared" ca="1" si="45"/>
        <v>4991427.7177774115</v>
      </c>
      <c r="AA86" s="217">
        <f t="shared" si="46"/>
        <v>66.5833333333333</v>
      </c>
      <c r="AB86" s="216">
        <f t="shared" ca="1" si="31"/>
        <v>62856.639291942876</v>
      </c>
      <c r="AC86" s="240">
        <f t="shared" ca="1" si="47"/>
        <v>4274251.47185212</v>
      </c>
      <c r="AD86" s="216"/>
      <c r="AF86" s="210">
        <f>ROW()</f>
        <v>86</v>
      </c>
      <c r="AG86" s="217">
        <f t="shared" si="48"/>
        <v>66.5833333333333</v>
      </c>
      <c r="AH86" s="217">
        <f t="shared" ca="1" si="27"/>
        <v>0</v>
      </c>
      <c r="AI86" s="217">
        <f ca="1">IF(AH85&lt;&gt;0,FINANCIAMIENTO!$F$5,0)</f>
        <v>0</v>
      </c>
      <c r="AJ86" s="240" t="b">
        <f t="shared" ca="1" si="50"/>
        <v>0</v>
      </c>
      <c r="AK86" s="240">
        <f t="shared" ca="1" si="32"/>
        <v>0</v>
      </c>
      <c r="AL86" s="240">
        <f t="shared" ca="1" si="33"/>
        <v>76363.675936010943</v>
      </c>
      <c r="AM86" s="240">
        <f t="shared" ca="1" si="34"/>
        <v>76363.675936010943</v>
      </c>
      <c r="AN86" s="240">
        <f t="shared" ca="1" si="49"/>
        <v>4501795.1768356636</v>
      </c>
    </row>
    <row r="87" spans="9:40">
      <c r="I87" s="217">
        <f t="shared" si="35"/>
        <v>66.666666666666629</v>
      </c>
      <c r="J87" s="216">
        <f t="shared" ca="1" si="29"/>
        <v>62856.639291942876</v>
      </c>
      <c r="K87" s="216">
        <f t="shared" ca="1" si="36"/>
        <v>4337108.1111440631</v>
      </c>
      <c r="M87" s="217">
        <f t="shared" si="37"/>
        <v>66.666666666666629</v>
      </c>
      <c r="N87" s="217">
        <f t="shared" ca="1" si="26"/>
        <v>0</v>
      </c>
      <c r="O87" s="216">
        <f t="shared" ca="1" si="38"/>
        <v>76363.675936010943</v>
      </c>
      <c r="P87" s="216">
        <f t="shared" ca="1" si="39"/>
        <v>5094800.2906487873</v>
      </c>
      <c r="R87" s="217">
        <f t="shared" si="40"/>
        <v>66.666666666666629</v>
      </c>
      <c r="S87" s="240">
        <f t="shared" ca="1" si="30"/>
        <v>62856.639291942876</v>
      </c>
      <c r="T87" s="240">
        <f t="shared" ca="1" si="41"/>
        <v>4337108.1111440631</v>
      </c>
      <c r="V87" s="217">
        <f t="shared" si="42"/>
        <v>66.666666666666629</v>
      </c>
      <c r="W87" s="217">
        <f t="shared" ca="1" si="43"/>
        <v>0</v>
      </c>
      <c r="X87" s="240">
        <f t="shared" ca="1" si="44"/>
        <v>76363.675936010943</v>
      </c>
      <c r="Y87" s="240">
        <f t="shared" ca="1" si="45"/>
        <v>5067791.3937134221</v>
      </c>
      <c r="AA87" s="217">
        <f t="shared" si="46"/>
        <v>66.666666666666629</v>
      </c>
      <c r="AB87" s="216">
        <f t="shared" ca="1" si="31"/>
        <v>62856.639291942876</v>
      </c>
      <c r="AC87" s="240">
        <f t="shared" ca="1" si="47"/>
        <v>4337108.1111440631</v>
      </c>
      <c r="AD87" s="216"/>
      <c r="AF87" s="210">
        <f>ROW()</f>
        <v>87</v>
      </c>
      <c r="AG87" s="217">
        <f t="shared" si="48"/>
        <v>66.666666666666629</v>
      </c>
      <c r="AH87" s="217">
        <f t="shared" ca="1" si="27"/>
        <v>0</v>
      </c>
      <c r="AI87" s="217">
        <f ca="1">IF(AH86&lt;&gt;0,FINANCIAMIENTO!$F$5,0)</f>
        <v>0</v>
      </c>
      <c r="AJ87" s="240" t="b">
        <f t="shared" ca="1" si="50"/>
        <v>0</v>
      </c>
      <c r="AK87" s="240">
        <f t="shared" ca="1" si="32"/>
        <v>0</v>
      </c>
      <c r="AL87" s="240">
        <f t="shared" ca="1" si="33"/>
        <v>76363.675936010943</v>
      </c>
      <c r="AM87" s="240">
        <f t="shared" ca="1" si="34"/>
        <v>76363.675936010943</v>
      </c>
      <c r="AN87" s="240">
        <f t="shared" ca="1" si="49"/>
        <v>4578158.8527716743</v>
      </c>
    </row>
    <row r="88" spans="9:40">
      <c r="I88" s="217">
        <f t="shared" si="35"/>
        <v>66.749999999999957</v>
      </c>
      <c r="J88" s="216">
        <f t="shared" ca="1" si="29"/>
        <v>62856.639291942876</v>
      </c>
      <c r="K88" s="216">
        <f t="shared" ca="1" si="36"/>
        <v>4399964.7504360061</v>
      </c>
      <c r="M88" s="217">
        <f t="shared" si="37"/>
        <v>66.749999999999957</v>
      </c>
      <c r="N88" s="217">
        <f t="shared" ca="1" si="26"/>
        <v>0</v>
      </c>
      <c r="O88" s="216">
        <f t="shared" ca="1" si="38"/>
        <v>76363.675936010943</v>
      </c>
      <c r="P88" s="216">
        <f t="shared" ca="1" si="39"/>
        <v>5171163.9665847979</v>
      </c>
      <c r="R88" s="217">
        <f t="shared" si="40"/>
        <v>66.749999999999957</v>
      </c>
      <c r="S88" s="240">
        <f t="shared" ca="1" si="30"/>
        <v>62856.639291942876</v>
      </c>
      <c r="T88" s="240">
        <f t="shared" ca="1" si="41"/>
        <v>4399964.7504360061</v>
      </c>
      <c r="V88" s="217">
        <f t="shared" si="42"/>
        <v>66.749999999999957</v>
      </c>
      <c r="W88" s="217">
        <f t="shared" ca="1" si="43"/>
        <v>0</v>
      </c>
      <c r="X88" s="240">
        <f t="shared" ca="1" si="44"/>
        <v>76363.675936010943</v>
      </c>
      <c r="Y88" s="240">
        <f t="shared" ca="1" si="45"/>
        <v>5144155.0696494328</v>
      </c>
      <c r="AA88" s="217">
        <f t="shared" si="46"/>
        <v>66.749999999999957</v>
      </c>
      <c r="AB88" s="216">
        <f t="shared" ca="1" si="31"/>
        <v>62856.639291942876</v>
      </c>
      <c r="AC88" s="240">
        <f t="shared" ca="1" si="47"/>
        <v>4399964.7504360061</v>
      </c>
      <c r="AD88" s="216"/>
      <c r="AF88" s="210">
        <f>ROW()</f>
        <v>88</v>
      </c>
      <c r="AG88" s="217">
        <f t="shared" si="48"/>
        <v>66.749999999999957</v>
      </c>
      <c r="AH88" s="217">
        <f t="shared" ca="1" si="27"/>
        <v>0</v>
      </c>
      <c r="AI88" s="217">
        <f ca="1">IF(AH87&lt;&gt;0,FINANCIAMIENTO!$F$5,0)</f>
        <v>0</v>
      </c>
      <c r="AJ88" s="240" t="b">
        <f t="shared" ca="1" si="50"/>
        <v>0</v>
      </c>
      <c r="AK88" s="240">
        <f t="shared" ca="1" si="32"/>
        <v>0</v>
      </c>
      <c r="AL88" s="240">
        <f t="shared" ca="1" si="33"/>
        <v>76363.675936010943</v>
      </c>
      <c r="AM88" s="240">
        <f t="shared" ca="1" si="34"/>
        <v>76363.675936010943</v>
      </c>
      <c r="AN88" s="240">
        <f t="shared" ca="1" si="49"/>
        <v>4654522.5287076849</v>
      </c>
    </row>
    <row r="89" spans="9:40">
      <c r="I89" s="217">
        <f t="shared" si="35"/>
        <v>66.833333333333286</v>
      </c>
      <c r="J89" s="216">
        <f t="shared" ca="1" si="29"/>
        <v>62856.639291942876</v>
      </c>
      <c r="K89" s="216">
        <f t="shared" ca="1" si="36"/>
        <v>4462821.3897279492</v>
      </c>
      <c r="M89" s="217">
        <f t="shared" si="37"/>
        <v>66.833333333333286</v>
      </c>
      <c r="N89" s="217">
        <f t="shared" ca="1" si="26"/>
        <v>0</v>
      </c>
      <c r="O89" s="216">
        <f t="shared" ca="1" si="38"/>
        <v>76363.675936010943</v>
      </c>
      <c r="P89" s="216">
        <f t="shared" ca="1" si="39"/>
        <v>5247527.6425208086</v>
      </c>
      <c r="R89" s="217">
        <f t="shared" si="40"/>
        <v>66.833333333333286</v>
      </c>
      <c r="S89" s="240">
        <f t="shared" ca="1" si="30"/>
        <v>62856.639291942876</v>
      </c>
      <c r="T89" s="240">
        <f t="shared" ca="1" si="41"/>
        <v>4462821.3897279492</v>
      </c>
      <c r="V89" s="217">
        <f t="shared" si="42"/>
        <v>66.833333333333286</v>
      </c>
      <c r="W89" s="217">
        <f t="shared" ca="1" si="43"/>
        <v>0</v>
      </c>
      <c r="X89" s="240">
        <f t="shared" ca="1" si="44"/>
        <v>76363.675936010943</v>
      </c>
      <c r="Y89" s="240">
        <f t="shared" ca="1" si="45"/>
        <v>5220518.7455854435</v>
      </c>
      <c r="AA89" s="217">
        <f t="shared" si="46"/>
        <v>66.833333333333286</v>
      </c>
      <c r="AB89" s="216">
        <f t="shared" ca="1" si="31"/>
        <v>62856.639291942876</v>
      </c>
      <c r="AC89" s="240">
        <f t="shared" ca="1" si="47"/>
        <v>4462821.3897279492</v>
      </c>
      <c r="AD89" s="216"/>
      <c r="AF89" s="210">
        <f>ROW()</f>
        <v>89</v>
      </c>
      <c r="AG89" s="217">
        <f t="shared" si="48"/>
        <v>66.833333333333286</v>
      </c>
      <c r="AH89" s="217">
        <f t="shared" ca="1" si="27"/>
        <v>0</v>
      </c>
      <c r="AI89" s="217">
        <f ca="1">IF(AH88&lt;&gt;0,FINANCIAMIENTO!$F$5,0)</f>
        <v>0</v>
      </c>
      <c r="AJ89" s="240" t="b">
        <f t="shared" ca="1" si="50"/>
        <v>0</v>
      </c>
      <c r="AK89" s="240">
        <f t="shared" ca="1" si="32"/>
        <v>0</v>
      </c>
      <c r="AL89" s="240">
        <f t="shared" ca="1" si="33"/>
        <v>76363.675936010943</v>
      </c>
      <c r="AM89" s="240">
        <f t="shared" ca="1" si="34"/>
        <v>76363.675936010943</v>
      </c>
      <c r="AN89" s="240">
        <f t="shared" ca="1" si="49"/>
        <v>4730886.2046436956</v>
      </c>
    </row>
    <row r="90" spans="9:40">
      <c r="I90" s="217">
        <f t="shared" si="35"/>
        <v>66.916666666666615</v>
      </c>
      <c r="J90" s="216">
        <f t="shared" ca="1" si="29"/>
        <v>62856.639291942876</v>
      </c>
      <c r="K90" s="216">
        <f t="shared" ca="1" si="36"/>
        <v>4525678.0290198922</v>
      </c>
      <c r="M90" s="217">
        <f t="shared" si="37"/>
        <v>66.916666666666615</v>
      </c>
      <c r="N90" s="217">
        <f t="shared" ca="1" si="26"/>
        <v>0</v>
      </c>
      <c r="O90" s="216">
        <f t="shared" ca="1" si="38"/>
        <v>76363.675936010943</v>
      </c>
      <c r="P90" s="216">
        <f t="shared" ca="1" si="39"/>
        <v>5323891.3184568193</v>
      </c>
      <c r="R90" s="217">
        <f t="shared" si="40"/>
        <v>66.916666666666615</v>
      </c>
      <c r="S90" s="240">
        <f t="shared" ca="1" si="30"/>
        <v>62856.639291942876</v>
      </c>
      <c r="T90" s="240">
        <f t="shared" ca="1" si="41"/>
        <v>4525678.0290198922</v>
      </c>
      <c r="V90" s="217">
        <f t="shared" si="42"/>
        <v>66.916666666666615</v>
      </c>
      <c r="W90" s="217">
        <f t="shared" ca="1" si="43"/>
        <v>0</v>
      </c>
      <c r="X90" s="240">
        <f t="shared" ca="1" si="44"/>
        <v>76363.675936010943</v>
      </c>
      <c r="Y90" s="240">
        <f t="shared" ca="1" si="45"/>
        <v>5296882.4215214541</v>
      </c>
      <c r="AA90" s="217">
        <f t="shared" si="46"/>
        <v>66.916666666666615</v>
      </c>
      <c r="AB90" s="216">
        <f t="shared" ca="1" si="31"/>
        <v>62856.639291942876</v>
      </c>
      <c r="AC90" s="240">
        <f t="shared" ca="1" si="47"/>
        <v>4525678.0290198922</v>
      </c>
      <c r="AD90" s="216"/>
      <c r="AF90" s="210">
        <f>ROW()</f>
        <v>90</v>
      </c>
      <c r="AG90" s="217">
        <f t="shared" si="48"/>
        <v>66.916666666666615</v>
      </c>
      <c r="AH90" s="217">
        <f t="shared" ca="1" si="27"/>
        <v>0</v>
      </c>
      <c r="AI90" s="217">
        <f ca="1">IF(AH89&lt;&gt;0,FINANCIAMIENTO!$F$5,0)</f>
        <v>0</v>
      </c>
      <c r="AJ90" s="240" t="b">
        <f t="shared" ca="1" si="50"/>
        <v>0</v>
      </c>
      <c r="AK90" s="240">
        <f t="shared" ca="1" si="32"/>
        <v>0</v>
      </c>
      <c r="AL90" s="240">
        <f t="shared" ca="1" si="33"/>
        <v>76363.675936010943</v>
      </c>
      <c r="AM90" s="240">
        <f t="shared" ca="1" si="34"/>
        <v>76363.675936010943</v>
      </c>
      <c r="AN90" s="240">
        <f t="shared" ca="1" si="49"/>
        <v>4807249.8805797063</v>
      </c>
    </row>
    <row r="91" spans="9:40">
      <c r="I91" s="217">
        <f t="shared" si="35"/>
        <v>66.999999999999943</v>
      </c>
      <c r="J91" s="216">
        <f t="shared" ca="1" si="29"/>
        <v>62856.639291942876</v>
      </c>
      <c r="K91" s="216">
        <f t="shared" ca="1" si="36"/>
        <v>4588534.6683118353</v>
      </c>
      <c r="M91" s="217">
        <f t="shared" si="37"/>
        <v>66.999999999999943</v>
      </c>
      <c r="N91" s="217">
        <f t="shared" ca="1" si="26"/>
        <v>0</v>
      </c>
      <c r="O91" s="216">
        <f t="shared" ca="1" si="38"/>
        <v>76363.675936010943</v>
      </c>
      <c r="P91" s="216">
        <f t="shared" ca="1" si="39"/>
        <v>5400254.9943928299</v>
      </c>
      <c r="R91" s="217">
        <f t="shared" si="40"/>
        <v>66.999999999999943</v>
      </c>
      <c r="S91" s="240">
        <f t="shared" ca="1" si="30"/>
        <v>62856.639291942876</v>
      </c>
      <c r="T91" s="240">
        <f t="shared" ca="1" si="41"/>
        <v>4588534.6683118353</v>
      </c>
      <c r="V91" s="217">
        <f t="shared" si="42"/>
        <v>66.999999999999943</v>
      </c>
      <c r="W91" s="217">
        <f t="shared" ca="1" si="43"/>
        <v>0</v>
      </c>
      <c r="X91" s="240">
        <f t="shared" ca="1" si="44"/>
        <v>76363.675936010943</v>
      </c>
      <c r="Y91" s="240">
        <f t="shared" ca="1" si="45"/>
        <v>5373246.0974574648</v>
      </c>
      <c r="AA91" s="217">
        <f t="shared" si="46"/>
        <v>66.999999999999943</v>
      </c>
      <c r="AB91" s="216">
        <f t="shared" ca="1" si="31"/>
        <v>62856.639291942876</v>
      </c>
      <c r="AC91" s="240">
        <f t="shared" ca="1" si="47"/>
        <v>4588534.6683118353</v>
      </c>
      <c r="AD91" s="216"/>
      <c r="AF91" s="210">
        <f>ROW()</f>
        <v>91</v>
      </c>
      <c r="AG91" s="217">
        <f t="shared" si="48"/>
        <v>66.999999999999943</v>
      </c>
      <c r="AH91" s="217">
        <f t="shared" ca="1" si="27"/>
        <v>0</v>
      </c>
      <c r="AI91" s="217">
        <f ca="1">IF(AH90&lt;&gt;0,FINANCIAMIENTO!$F$5,0)</f>
        <v>0</v>
      </c>
      <c r="AJ91" s="240" t="b">
        <f t="shared" ca="1" si="50"/>
        <v>0</v>
      </c>
      <c r="AK91" s="240">
        <f t="shared" ca="1" si="32"/>
        <v>0</v>
      </c>
      <c r="AL91" s="240">
        <f t="shared" ca="1" si="33"/>
        <v>76363.675936010943</v>
      </c>
      <c r="AM91" s="240">
        <f t="shared" ca="1" si="34"/>
        <v>76363.675936010943</v>
      </c>
      <c r="AN91" s="240">
        <f t="shared" ca="1" si="49"/>
        <v>4883613.5565157169</v>
      </c>
    </row>
    <row r="92" spans="9:40">
      <c r="I92" s="217">
        <f t="shared" si="35"/>
        <v>67.083333333333272</v>
      </c>
      <c r="J92" s="216">
        <f t="shared" ca="1" si="29"/>
        <v>62856.639291942876</v>
      </c>
      <c r="K92" s="216">
        <f t="shared" ca="1" si="36"/>
        <v>4651391.3076037783</v>
      </c>
      <c r="M92" s="217">
        <f t="shared" si="37"/>
        <v>67.083333333333272</v>
      </c>
      <c r="N92" s="217">
        <f t="shared" ca="1" si="26"/>
        <v>0</v>
      </c>
      <c r="O92" s="216">
        <f t="shared" ca="1" si="38"/>
        <v>76363.675936010943</v>
      </c>
      <c r="P92" s="216">
        <f t="shared" ca="1" si="39"/>
        <v>5476618.6703288406</v>
      </c>
      <c r="R92" s="217">
        <f t="shared" si="40"/>
        <v>67.083333333333272</v>
      </c>
      <c r="S92" s="240">
        <f t="shared" ca="1" si="30"/>
        <v>62856.639291942876</v>
      </c>
      <c r="T92" s="240">
        <f t="shared" ca="1" si="41"/>
        <v>4651391.3076037783</v>
      </c>
      <c r="V92" s="217">
        <f t="shared" si="42"/>
        <v>67.083333333333272</v>
      </c>
      <c r="W92" s="217">
        <f t="shared" ca="1" si="43"/>
        <v>0</v>
      </c>
      <c r="X92" s="240">
        <f t="shared" ca="1" si="44"/>
        <v>76363.675936010943</v>
      </c>
      <c r="Y92" s="240">
        <f t="shared" ca="1" si="45"/>
        <v>5449609.7733934755</v>
      </c>
      <c r="AA92" s="217">
        <f t="shared" si="46"/>
        <v>67.083333333333272</v>
      </c>
      <c r="AB92" s="216">
        <f t="shared" ca="1" si="31"/>
        <v>62856.639291942876</v>
      </c>
      <c r="AC92" s="240">
        <f t="shared" ca="1" si="47"/>
        <v>4651391.3076037783</v>
      </c>
      <c r="AD92" s="216"/>
      <c r="AF92" s="210">
        <f>ROW()</f>
        <v>92</v>
      </c>
      <c r="AG92" s="217">
        <f t="shared" si="48"/>
        <v>67.083333333333272</v>
      </c>
      <c r="AH92" s="217">
        <f t="shared" ca="1" si="27"/>
        <v>0</v>
      </c>
      <c r="AI92" s="217">
        <f ca="1">IF(AH91&lt;&gt;0,FINANCIAMIENTO!$F$5,0)</f>
        <v>0</v>
      </c>
      <c r="AJ92" s="240" t="b">
        <f t="shared" ca="1" si="50"/>
        <v>0</v>
      </c>
      <c r="AK92" s="240">
        <f t="shared" ca="1" si="32"/>
        <v>0</v>
      </c>
      <c r="AL92" s="240">
        <f t="shared" ca="1" si="33"/>
        <v>76363.675936010943</v>
      </c>
      <c r="AM92" s="240">
        <f t="shared" ca="1" si="34"/>
        <v>76363.675936010943</v>
      </c>
      <c r="AN92" s="240">
        <f t="shared" ca="1" si="49"/>
        <v>4959977.2324517276</v>
      </c>
    </row>
    <row r="93" spans="9:40">
      <c r="I93" s="217">
        <f t="shared" si="35"/>
        <v>67.1666666666666</v>
      </c>
      <c r="J93" s="216">
        <f t="shared" ca="1" si="29"/>
        <v>62856.639291942876</v>
      </c>
      <c r="K93" s="216">
        <f t="shared" ca="1" si="36"/>
        <v>4714247.9468957214</v>
      </c>
      <c r="M93" s="217">
        <f t="shared" si="37"/>
        <v>67.1666666666666</v>
      </c>
      <c r="N93" s="217">
        <f t="shared" ca="1" si="26"/>
        <v>0</v>
      </c>
      <c r="O93" s="216">
        <f t="shared" ca="1" si="38"/>
        <v>76363.675936010943</v>
      </c>
      <c r="P93" s="216">
        <f t="shared" ca="1" si="39"/>
        <v>5552982.3462648513</v>
      </c>
      <c r="R93" s="217">
        <f t="shared" si="40"/>
        <v>67.1666666666666</v>
      </c>
      <c r="S93" s="240">
        <f t="shared" ca="1" si="30"/>
        <v>62856.639291942876</v>
      </c>
      <c r="T93" s="240">
        <f t="shared" ca="1" si="41"/>
        <v>4714247.9468957214</v>
      </c>
      <c r="V93" s="217">
        <f t="shared" si="42"/>
        <v>67.1666666666666</v>
      </c>
      <c r="W93" s="217">
        <f t="shared" ca="1" si="43"/>
        <v>0</v>
      </c>
      <c r="X93" s="240">
        <f t="shared" ca="1" si="44"/>
        <v>76363.675936010943</v>
      </c>
      <c r="Y93" s="240">
        <f t="shared" ca="1" si="45"/>
        <v>5525973.4493294861</v>
      </c>
      <c r="AA93" s="217">
        <f t="shared" si="46"/>
        <v>67.1666666666666</v>
      </c>
      <c r="AB93" s="216">
        <f t="shared" ca="1" si="31"/>
        <v>62856.639291942876</v>
      </c>
      <c r="AC93" s="240">
        <f t="shared" ca="1" si="47"/>
        <v>4714247.9468957214</v>
      </c>
      <c r="AD93" s="216"/>
      <c r="AF93" s="210">
        <f>ROW()</f>
        <v>93</v>
      </c>
      <c r="AG93" s="217">
        <f t="shared" si="48"/>
        <v>67.1666666666666</v>
      </c>
      <c r="AH93" s="217">
        <f t="shared" ca="1" si="27"/>
        <v>0</v>
      </c>
      <c r="AI93" s="217">
        <f ca="1">IF(AH92&lt;&gt;0,FINANCIAMIENTO!$F$5,0)</f>
        <v>0</v>
      </c>
      <c r="AJ93" s="240" t="b">
        <f t="shared" ca="1" si="50"/>
        <v>0</v>
      </c>
      <c r="AK93" s="240">
        <f t="shared" ca="1" si="32"/>
        <v>0</v>
      </c>
      <c r="AL93" s="240">
        <f t="shared" ca="1" si="33"/>
        <v>76363.675936010943</v>
      </c>
      <c r="AM93" s="240">
        <f t="shared" ca="1" si="34"/>
        <v>76363.675936010943</v>
      </c>
      <c r="AN93" s="240">
        <f t="shared" ca="1" si="49"/>
        <v>5036340.9083877383</v>
      </c>
    </row>
    <row r="94" spans="9:40">
      <c r="I94" s="217">
        <f t="shared" si="35"/>
        <v>67.249999999999929</v>
      </c>
      <c r="J94" s="216">
        <f t="shared" ca="1" si="29"/>
        <v>62856.639291942876</v>
      </c>
      <c r="K94" s="216">
        <f t="shared" ca="1" si="36"/>
        <v>4777104.5861876644</v>
      </c>
      <c r="M94" s="217">
        <f t="shared" si="37"/>
        <v>67.249999999999929</v>
      </c>
      <c r="N94" s="217">
        <f t="shared" ca="1" si="26"/>
        <v>0</v>
      </c>
      <c r="O94" s="216">
        <f t="shared" ca="1" si="38"/>
        <v>76363.675936010943</v>
      </c>
      <c r="P94" s="216">
        <f t="shared" ca="1" si="39"/>
        <v>5629346.0222008619</v>
      </c>
      <c r="R94" s="217">
        <f t="shared" si="40"/>
        <v>67.249999999999929</v>
      </c>
      <c r="S94" s="240">
        <f t="shared" ca="1" si="30"/>
        <v>62856.639291942876</v>
      </c>
      <c r="T94" s="240">
        <f t="shared" ca="1" si="41"/>
        <v>4777104.5861876644</v>
      </c>
      <c r="V94" s="217">
        <f t="shared" si="42"/>
        <v>67.249999999999929</v>
      </c>
      <c r="W94" s="217">
        <f t="shared" ca="1" si="43"/>
        <v>0</v>
      </c>
      <c r="X94" s="240">
        <f t="shared" ca="1" si="44"/>
        <v>76363.675936010943</v>
      </c>
      <c r="Y94" s="240">
        <f t="shared" ca="1" si="45"/>
        <v>5602337.1252654968</v>
      </c>
      <c r="AA94" s="217">
        <f t="shared" si="46"/>
        <v>67.249999999999929</v>
      </c>
      <c r="AB94" s="216">
        <f t="shared" ca="1" si="31"/>
        <v>62856.639291942876</v>
      </c>
      <c r="AC94" s="240">
        <f t="shared" ca="1" si="47"/>
        <v>4777104.5861876644</v>
      </c>
      <c r="AD94" s="216"/>
      <c r="AF94" s="210">
        <f>ROW()</f>
        <v>94</v>
      </c>
      <c r="AG94" s="217">
        <f t="shared" si="48"/>
        <v>67.249999999999929</v>
      </c>
      <c r="AH94" s="217">
        <f t="shared" ca="1" si="27"/>
        <v>0</v>
      </c>
      <c r="AI94" s="217">
        <f ca="1">IF(AH93&lt;&gt;0,FINANCIAMIENTO!$F$5,0)</f>
        <v>0</v>
      </c>
      <c r="AJ94" s="240" t="b">
        <f t="shared" ca="1" si="50"/>
        <v>0</v>
      </c>
      <c r="AK94" s="240">
        <f t="shared" ca="1" si="32"/>
        <v>0</v>
      </c>
      <c r="AL94" s="240">
        <f t="shared" ca="1" si="33"/>
        <v>76363.675936010943</v>
      </c>
      <c r="AM94" s="240">
        <f t="shared" ca="1" si="34"/>
        <v>76363.675936010943</v>
      </c>
      <c r="AN94" s="240">
        <f t="shared" ca="1" si="49"/>
        <v>5112704.5843237489</v>
      </c>
    </row>
    <row r="95" spans="9:40">
      <c r="I95" s="217">
        <f t="shared" si="35"/>
        <v>67.333333333333258</v>
      </c>
      <c r="J95" s="216">
        <f t="shared" ca="1" si="29"/>
        <v>62856.639291942876</v>
      </c>
      <c r="K95" s="216">
        <f t="shared" ca="1" si="36"/>
        <v>4839961.2254796075</v>
      </c>
      <c r="M95" s="217">
        <f t="shared" si="37"/>
        <v>67.333333333333258</v>
      </c>
      <c r="N95" s="217">
        <f t="shared" ca="1" si="26"/>
        <v>0</v>
      </c>
      <c r="O95" s="216">
        <f t="shared" ca="1" si="38"/>
        <v>76363.675936010943</v>
      </c>
      <c r="P95" s="216">
        <f t="shared" ca="1" si="39"/>
        <v>5705709.6981368726</v>
      </c>
      <c r="R95" s="217">
        <f t="shared" si="40"/>
        <v>67.333333333333258</v>
      </c>
      <c r="S95" s="240">
        <f t="shared" ca="1" si="30"/>
        <v>62856.639291942876</v>
      </c>
      <c r="T95" s="240">
        <f t="shared" ca="1" si="41"/>
        <v>4839961.2254796075</v>
      </c>
      <c r="V95" s="217">
        <f t="shared" si="42"/>
        <v>67.333333333333258</v>
      </c>
      <c r="W95" s="217">
        <f t="shared" ca="1" si="43"/>
        <v>0</v>
      </c>
      <c r="X95" s="240">
        <f t="shared" ca="1" si="44"/>
        <v>76363.675936010943</v>
      </c>
      <c r="Y95" s="240">
        <f t="shared" ca="1" si="45"/>
        <v>5678700.8012015074</v>
      </c>
      <c r="AA95" s="217">
        <f t="shared" si="46"/>
        <v>67.333333333333258</v>
      </c>
      <c r="AB95" s="216">
        <f t="shared" ca="1" si="31"/>
        <v>62856.639291942876</v>
      </c>
      <c r="AC95" s="240">
        <f t="shared" ca="1" si="47"/>
        <v>4839961.2254796075</v>
      </c>
      <c r="AD95" s="216"/>
      <c r="AF95" s="210">
        <f>ROW()</f>
        <v>95</v>
      </c>
      <c r="AG95" s="217">
        <f t="shared" si="48"/>
        <v>67.333333333333258</v>
      </c>
      <c r="AH95" s="217">
        <f t="shared" ca="1" si="27"/>
        <v>0</v>
      </c>
      <c r="AI95" s="217">
        <f ca="1">IF(AH94&lt;&gt;0,FINANCIAMIENTO!$F$5,0)</f>
        <v>0</v>
      </c>
      <c r="AJ95" s="240" t="b">
        <f t="shared" ca="1" si="50"/>
        <v>0</v>
      </c>
      <c r="AK95" s="240">
        <f t="shared" ca="1" si="32"/>
        <v>0</v>
      </c>
      <c r="AL95" s="240">
        <f t="shared" ca="1" si="33"/>
        <v>76363.675936010943</v>
      </c>
      <c r="AM95" s="240">
        <f t="shared" ca="1" si="34"/>
        <v>76363.675936010943</v>
      </c>
      <c r="AN95" s="240">
        <f t="shared" ca="1" si="49"/>
        <v>5189068.2602597596</v>
      </c>
    </row>
    <row r="96" spans="9:40">
      <c r="I96" s="217">
        <f t="shared" si="35"/>
        <v>67.416666666666586</v>
      </c>
      <c r="J96" s="216">
        <f t="shared" ca="1" si="29"/>
        <v>62856.639291942876</v>
      </c>
      <c r="K96" s="216">
        <f t="shared" ca="1" si="36"/>
        <v>4902817.8647715505</v>
      </c>
      <c r="M96" s="217">
        <f t="shared" si="37"/>
        <v>67.416666666666586</v>
      </c>
      <c r="N96" s="217">
        <f t="shared" ca="1" si="26"/>
        <v>0</v>
      </c>
      <c r="O96" s="216">
        <f t="shared" ca="1" si="38"/>
        <v>76363.675936010943</v>
      </c>
      <c r="P96" s="216">
        <f t="shared" ca="1" si="39"/>
        <v>5782073.3740728833</v>
      </c>
      <c r="R96" s="217">
        <f t="shared" si="40"/>
        <v>67.416666666666586</v>
      </c>
      <c r="S96" s="240">
        <f t="shared" ca="1" si="30"/>
        <v>62856.639291942876</v>
      </c>
      <c r="T96" s="240">
        <f t="shared" ca="1" si="41"/>
        <v>4902817.8647715505</v>
      </c>
      <c r="V96" s="217">
        <f t="shared" si="42"/>
        <v>67.416666666666586</v>
      </c>
      <c r="W96" s="217">
        <f t="shared" ca="1" si="43"/>
        <v>0</v>
      </c>
      <c r="X96" s="240">
        <f t="shared" ca="1" si="44"/>
        <v>76363.675936010943</v>
      </c>
      <c r="Y96" s="240">
        <f t="shared" ca="1" si="45"/>
        <v>5755064.4771375181</v>
      </c>
      <c r="AA96" s="217">
        <f t="shared" si="46"/>
        <v>67.416666666666586</v>
      </c>
      <c r="AB96" s="216">
        <f t="shared" ca="1" si="31"/>
        <v>62856.639291942876</v>
      </c>
      <c r="AC96" s="240">
        <f t="shared" ca="1" si="47"/>
        <v>4902817.8647715505</v>
      </c>
      <c r="AD96" s="216"/>
      <c r="AF96" s="210">
        <f>ROW()</f>
        <v>96</v>
      </c>
      <c r="AG96" s="217">
        <f t="shared" si="48"/>
        <v>67.416666666666586</v>
      </c>
      <c r="AH96" s="217">
        <f t="shared" ca="1" si="27"/>
        <v>0</v>
      </c>
      <c r="AI96" s="217">
        <f ca="1">IF(AH95&lt;&gt;0,FINANCIAMIENTO!$F$5,0)</f>
        <v>0</v>
      </c>
      <c r="AJ96" s="240" t="b">
        <f t="shared" ca="1" si="50"/>
        <v>0</v>
      </c>
      <c r="AK96" s="240">
        <f t="shared" ca="1" si="32"/>
        <v>0</v>
      </c>
      <c r="AL96" s="240">
        <f t="shared" ca="1" si="33"/>
        <v>76363.675936010943</v>
      </c>
      <c r="AM96" s="240">
        <f t="shared" ca="1" si="34"/>
        <v>76363.675936010943</v>
      </c>
      <c r="AN96" s="240">
        <f t="shared" ca="1" si="49"/>
        <v>5265431.9361957703</v>
      </c>
    </row>
    <row r="97" spans="9:40">
      <c r="I97" s="217">
        <f t="shared" si="35"/>
        <v>67.499999999999915</v>
      </c>
      <c r="J97" s="216">
        <f t="shared" ca="1" si="29"/>
        <v>62856.639291942876</v>
      </c>
      <c r="K97" s="216">
        <f t="shared" ca="1" si="36"/>
        <v>4965674.5040634936</v>
      </c>
      <c r="M97" s="217">
        <f t="shared" si="37"/>
        <v>67.499999999999915</v>
      </c>
      <c r="N97" s="217">
        <f t="shared" ca="1" si="26"/>
        <v>0</v>
      </c>
      <c r="O97" s="216">
        <f t="shared" ca="1" si="38"/>
        <v>76363.675936010943</v>
      </c>
      <c r="P97" s="216">
        <f t="shared" ca="1" si="39"/>
        <v>5858437.0500088939</v>
      </c>
      <c r="R97" s="217">
        <f t="shared" si="40"/>
        <v>67.499999999999915</v>
      </c>
      <c r="S97" s="240">
        <f t="shared" ca="1" si="30"/>
        <v>62856.639291942876</v>
      </c>
      <c r="T97" s="240">
        <f t="shared" ca="1" si="41"/>
        <v>4965674.5040634936</v>
      </c>
      <c r="V97" s="217">
        <f t="shared" si="42"/>
        <v>67.499999999999915</v>
      </c>
      <c r="W97" s="217">
        <f t="shared" ca="1" si="43"/>
        <v>0</v>
      </c>
      <c r="X97" s="240">
        <f t="shared" ca="1" si="44"/>
        <v>76363.675936010943</v>
      </c>
      <c r="Y97" s="240">
        <f t="shared" ca="1" si="45"/>
        <v>5831428.1530735288</v>
      </c>
      <c r="AA97" s="217">
        <f t="shared" si="46"/>
        <v>67.499999999999915</v>
      </c>
      <c r="AB97" s="216">
        <f t="shared" ca="1" si="31"/>
        <v>62856.639291942876</v>
      </c>
      <c r="AC97" s="240">
        <f t="shared" ca="1" si="47"/>
        <v>4965674.5040634936</v>
      </c>
      <c r="AD97" s="216"/>
      <c r="AF97" s="210">
        <f>ROW()</f>
        <v>97</v>
      </c>
      <c r="AG97" s="217">
        <f t="shared" si="48"/>
        <v>67.499999999999915</v>
      </c>
      <c r="AH97" s="217">
        <f t="shared" ca="1" si="27"/>
        <v>0</v>
      </c>
      <c r="AI97" s="217">
        <f ca="1">IF(AH96&lt;&gt;0,FINANCIAMIENTO!$F$5,0)</f>
        <v>0</v>
      </c>
      <c r="AJ97" s="240" t="b">
        <f t="shared" ca="1" si="50"/>
        <v>0</v>
      </c>
      <c r="AK97" s="240">
        <f t="shared" ca="1" si="32"/>
        <v>0</v>
      </c>
      <c r="AL97" s="240">
        <f t="shared" ca="1" si="33"/>
        <v>76363.675936010943</v>
      </c>
      <c r="AM97" s="240">
        <f t="shared" ca="1" si="34"/>
        <v>76363.675936010943</v>
      </c>
      <c r="AN97" s="240">
        <f t="shared" ca="1" si="49"/>
        <v>5341795.6121317809</v>
      </c>
    </row>
    <row r="98" spans="9:40">
      <c r="I98" s="217">
        <f t="shared" si="35"/>
        <v>67.583333333333243</v>
      </c>
      <c r="J98" s="216">
        <f t="shared" ca="1" si="29"/>
        <v>62856.639291942876</v>
      </c>
      <c r="K98" s="216">
        <f t="shared" ca="1" si="36"/>
        <v>5028531.1433554366</v>
      </c>
      <c r="M98" s="217">
        <f t="shared" si="37"/>
        <v>67.583333333333243</v>
      </c>
      <c r="N98" s="217">
        <f t="shared" ca="1" si="26"/>
        <v>0</v>
      </c>
      <c r="O98" s="216">
        <f t="shared" ca="1" si="38"/>
        <v>76363.675936010943</v>
      </c>
      <c r="P98" s="216">
        <f t="shared" ca="1" si="39"/>
        <v>5934800.7259449046</v>
      </c>
      <c r="R98" s="217">
        <f t="shared" si="40"/>
        <v>67.583333333333243</v>
      </c>
      <c r="S98" s="240">
        <f t="shared" ca="1" si="30"/>
        <v>62856.639291942876</v>
      </c>
      <c r="T98" s="240">
        <f t="shared" ca="1" si="41"/>
        <v>5028531.1433554366</v>
      </c>
      <c r="V98" s="217">
        <f t="shared" si="42"/>
        <v>67.583333333333243</v>
      </c>
      <c r="W98" s="217">
        <f t="shared" ca="1" si="43"/>
        <v>0</v>
      </c>
      <c r="X98" s="240">
        <f t="shared" ca="1" si="44"/>
        <v>76363.675936010943</v>
      </c>
      <c r="Y98" s="240">
        <f t="shared" ca="1" si="45"/>
        <v>5907791.8290095394</v>
      </c>
      <c r="AA98" s="217">
        <f t="shared" si="46"/>
        <v>67.583333333333243</v>
      </c>
      <c r="AB98" s="216">
        <f t="shared" ca="1" si="31"/>
        <v>62856.639291942876</v>
      </c>
      <c r="AC98" s="240">
        <f t="shared" ca="1" si="47"/>
        <v>5028531.1433554366</v>
      </c>
      <c r="AD98" s="216"/>
      <c r="AF98" s="210">
        <f>ROW()</f>
        <v>98</v>
      </c>
      <c r="AG98" s="217">
        <f t="shared" si="48"/>
        <v>67.583333333333243</v>
      </c>
      <c r="AH98" s="217">
        <f t="shared" ca="1" si="27"/>
        <v>0</v>
      </c>
      <c r="AI98" s="217">
        <f ca="1">IF(AH97&lt;&gt;0,FINANCIAMIENTO!$F$5,0)</f>
        <v>0</v>
      </c>
      <c r="AJ98" s="240" t="b">
        <f t="shared" ca="1" si="50"/>
        <v>0</v>
      </c>
      <c r="AK98" s="240">
        <f t="shared" ca="1" si="32"/>
        <v>0</v>
      </c>
      <c r="AL98" s="240">
        <f t="shared" ca="1" si="33"/>
        <v>76363.675936010943</v>
      </c>
      <c r="AM98" s="240">
        <f t="shared" ca="1" si="34"/>
        <v>76363.675936010943</v>
      </c>
      <c r="AN98" s="240">
        <f t="shared" ca="1" si="49"/>
        <v>5418159.2880677916</v>
      </c>
    </row>
    <row r="99" spans="9:40">
      <c r="I99" s="217">
        <f t="shared" si="35"/>
        <v>67.666666666666572</v>
      </c>
      <c r="J99" s="216">
        <f t="shared" ca="1" si="29"/>
        <v>62856.639291942876</v>
      </c>
      <c r="K99" s="216">
        <f t="shared" ca="1" si="36"/>
        <v>5091387.7826473797</v>
      </c>
      <c r="M99" s="217">
        <f t="shared" si="37"/>
        <v>67.666666666666572</v>
      </c>
      <c r="N99" s="217">
        <f t="shared" ca="1" si="26"/>
        <v>0</v>
      </c>
      <c r="O99" s="216">
        <f t="shared" ca="1" si="38"/>
        <v>76363.675936010943</v>
      </c>
      <c r="P99" s="216">
        <f t="shared" ca="1" si="39"/>
        <v>6011164.4018809153</v>
      </c>
      <c r="R99" s="217">
        <f t="shared" si="40"/>
        <v>67.666666666666572</v>
      </c>
      <c r="S99" s="240">
        <f t="shared" ca="1" si="30"/>
        <v>62856.639291942876</v>
      </c>
      <c r="T99" s="240">
        <f t="shared" ca="1" si="41"/>
        <v>5091387.7826473797</v>
      </c>
      <c r="V99" s="217">
        <f t="shared" si="42"/>
        <v>67.666666666666572</v>
      </c>
      <c r="W99" s="217">
        <f t="shared" ca="1" si="43"/>
        <v>0</v>
      </c>
      <c r="X99" s="240">
        <f t="shared" ca="1" si="44"/>
        <v>76363.675936010943</v>
      </c>
      <c r="Y99" s="240">
        <f t="shared" ca="1" si="45"/>
        <v>5984155.5049455501</v>
      </c>
      <c r="AA99" s="217">
        <f t="shared" si="46"/>
        <v>67.666666666666572</v>
      </c>
      <c r="AB99" s="216">
        <f t="shared" ca="1" si="31"/>
        <v>62856.639291942876</v>
      </c>
      <c r="AC99" s="240">
        <f t="shared" ca="1" si="47"/>
        <v>5091387.7826473797</v>
      </c>
      <c r="AD99" s="216"/>
      <c r="AF99" s="210">
        <f>ROW()</f>
        <v>99</v>
      </c>
      <c r="AG99" s="217">
        <f t="shared" si="48"/>
        <v>67.666666666666572</v>
      </c>
      <c r="AH99" s="217">
        <f t="shared" ca="1" si="27"/>
        <v>0</v>
      </c>
      <c r="AI99" s="217">
        <f ca="1">IF(AH98&lt;&gt;0,FINANCIAMIENTO!$F$5,0)</f>
        <v>0</v>
      </c>
      <c r="AJ99" s="240" t="b">
        <f t="shared" ca="1" si="50"/>
        <v>0</v>
      </c>
      <c r="AK99" s="240">
        <f t="shared" ca="1" si="32"/>
        <v>0</v>
      </c>
      <c r="AL99" s="240">
        <f t="shared" ca="1" si="33"/>
        <v>76363.675936010943</v>
      </c>
      <c r="AM99" s="240">
        <f t="shared" ca="1" si="34"/>
        <v>76363.675936010943</v>
      </c>
      <c r="AN99" s="240">
        <f t="shared" ca="1" si="49"/>
        <v>5494522.9640038023</v>
      </c>
    </row>
    <row r="100" spans="9:40">
      <c r="I100" s="217">
        <f t="shared" si="35"/>
        <v>67.749999999999901</v>
      </c>
      <c r="J100" s="216">
        <f t="shared" ca="1" si="29"/>
        <v>62856.639291942876</v>
      </c>
      <c r="K100" s="216">
        <f t="shared" ca="1" si="36"/>
        <v>5154244.4219393227</v>
      </c>
      <c r="M100" s="217">
        <f t="shared" si="37"/>
        <v>67.749999999999901</v>
      </c>
      <c r="N100" s="217">
        <f t="shared" ca="1" si="26"/>
        <v>0</v>
      </c>
      <c r="O100" s="216">
        <f t="shared" ca="1" si="38"/>
        <v>76363.675936010943</v>
      </c>
      <c r="P100" s="216">
        <f t="shared" ca="1" si="39"/>
        <v>6087528.0778169259</v>
      </c>
      <c r="R100" s="217">
        <f t="shared" si="40"/>
        <v>67.749999999999901</v>
      </c>
      <c r="S100" s="240">
        <f t="shared" ca="1" si="30"/>
        <v>62856.639291942876</v>
      </c>
      <c r="T100" s="240">
        <f t="shared" ca="1" si="41"/>
        <v>5154244.4219393227</v>
      </c>
      <c r="V100" s="217">
        <f t="shared" si="42"/>
        <v>67.749999999999901</v>
      </c>
      <c r="W100" s="217">
        <f t="shared" ca="1" si="43"/>
        <v>0</v>
      </c>
      <c r="X100" s="240">
        <f t="shared" ca="1" si="44"/>
        <v>76363.675936010943</v>
      </c>
      <c r="Y100" s="240">
        <f t="shared" ca="1" si="45"/>
        <v>6060519.1808815608</v>
      </c>
      <c r="AA100" s="217">
        <f t="shared" si="46"/>
        <v>67.749999999999901</v>
      </c>
      <c r="AB100" s="216">
        <f t="shared" ca="1" si="31"/>
        <v>62856.639291942876</v>
      </c>
      <c r="AC100" s="240">
        <f t="shared" ca="1" si="47"/>
        <v>5154244.4219393227</v>
      </c>
      <c r="AD100" s="216"/>
      <c r="AF100" s="210">
        <f>ROW()</f>
        <v>100</v>
      </c>
      <c r="AG100" s="217">
        <f t="shared" si="48"/>
        <v>67.749999999999901</v>
      </c>
      <c r="AH100" s="217">
        <f t="shared" ca="1" si="27"/>
        <v>0</v>
      </c>
      <c r="AI100" s="217">
        <f ca="1">IF(AH99&lt;&gt;0,FINANCIAMIENTO!$F$5,0)</f>
        <v>0</v>
      </c>
      <c r="AJ100" s="240" t="b">
        <f t="shared" ca="1" si="50"/>
        <v>0</v>
      </c>
      <c r="AK100" s="240">
        <f t="shared" ca="1" si="32"/>
        <v>0</v>
      </c>
      <c r="AL100" s="240">
        <f t="shared" ca="1" si="33"/>
        <v>76363.675936010943</v>
      </c>
      <c r="AM100" s="240">
        <f t="shared" ca="1" si="34"/>
        <v>76363.675936010943</v>
      </c>
      <c r="AN100" s="240">
        <f t="shared" ca="1" si="49"/>
        <v>5570886.6399398129</v>
      </c>
    </row>
    <row r="101" spans="9:40">
      <c r="I101" s="217">
        <f t="shared" si="35"/>
        <v>67.833333333333229</v>
      </c>
      <c r="J101" s="216">
        <f t="shared" ca="1" si="29"/>
        <v>62856.639291942876</v>
      </c>
      <c r="K101" s="216">
        <f t="shared" ca="1" si="36"/>
        <v>5217101.0612312658</v>
      </c>
      <c r="M101" s="217">
        <f t="shared" si="37"/>
        <v>67.833333333333229</v>
      </c>
      <c r="N101" s="217">
        <f t="shared" ca="1" si="26"/>
        <v>0</v>
      </c>
      <c r="O101" s="216">
        <f t="shared" ca="1" si="38"/>
        <v>76363.675936010943</v>
      </c>
      <c r="P101" s="216">
        <f t="shared" ca="1" si="39"/>
        <v>6163891.7537529366</v>
      </c>
      <c r="R101" s="217">
        <f t="shared" si="40"/>
        <v>67.833333333333229</v>
      </c>
      <c r="S101" s="240">
        <f t="shared" ca="1" si="30"/>
        <v>62856.639291942876</v>
      </c>
      <c r="T101" s="240">
        <f t="shared" ca="1" si="41"/>
        <v>5217101.0612312658</v>
      </c>
      <c r="V101" s="217">
        <f t="shared" si="42"/>
        <v>67.833333333333229</v>
      </c>
      <c r="W101" s="217">
        <f t="shared" ca="1" si="43"/>
        <v>0</v>
      </c>
      <c r="X101" s="240">
        <f t="shared" ca="1" si="44"/>
        <v>76363.675936010943</v>
      </c>
      <c r="Y101" s="240">
        <f t="shared" ca="1" si="45"/>
        <v>6136882.8568175714</v>
      </c>
      <c r="AA101" s="217">
        <f t="shared" si="46"/>
        <v>67.833333333333229</v>
      </c>
      <c r="AB101" s="216">
        <f t="shared" ca="1" si="31"/>
        <v>62856.639291942876</v>
      </c>
      <c r="AC101" s="240">
        <f t="shared" ca="1" si="47"/>
        <v>5217101.0612312658</v>
      </c>
      <c r="AD101" s="216"/>
      <c r="AF101" s="210">
        <f>ROW()</f>
        <v>101</v>
      </c>
      <c r="AG101" s="217">
        <f t="shared" si="48"/>
        <v>67.833333333333229</v>
      </c>
      <c r="AH101" s="217">
        <f t="shared" ca="1" si="27"/>
        <v>0</v>
      </c>
      <c r="AI101" s="217">
        <f ca="1">IF(AH100&lt;&gt;0,FINANCIAMIENTO!$F$5,0)</f>
        <v>0</v>
      </c>
      <c r="AJ101" s="240" t="b">
        <f t="shared" ca="1" si="50"/>
        <v>0</v>
      </c>
      <c r="AK101" s="240">
        <f t="shared" ca="1" si="32"/>
        <v>0</v>
      </c>
      <c r="AL101" s="240">
        <f t="shared" ca="1" si="33"/>
        <v>76363.675936010943</v>
      </c>
      <c r="AM101" s="240">
        <f t="shared" ca="1" si="34"/>
        <v>76363.675936010943</v>
      </c>
      <c r="AN101" s="240">
        <f t="shared" ca="1" si="49"/>
        <v>5647250.3158758236</v>
      </c>
    </row>
    <row r="102" spans="9:40">
      <c r="I102" s="217">
        <f t="shared" si="35"/>
        <v>67.916666666666558</v>
      </c>
      <c r="J102" s="216">
        <f t="shared" ca="1" si="29"/>
        <v>62856.639291942876</v>
      </c>
      <c r="K102" s="216">
        <f t="shared" ca="1" si="36"/>
        <v>5279957.7005232088</v>
      </c>
      <c r="M102" s="217">
        <f t="shared" si="37"/>
        <v>67.916666666666558</v>
      </c>
      <c r="N102" s="217">
        <f t="shared" ref="N102:N133" ca="1" si="51">+IF(AND($N$3&gt;=M103-0.02,$N$3&lt;=M103+0.02),$N$4,0)</f>
        <v>0</v>
      </c>
      <c r="O102" s="216">
        <f t="shared" ca="1" si="38"/>
        <v>76363.675936010943</v>
      </c>
      <c r="P102" s="216">
        <f t="shared" ca="1" si="39"/>
        <v>6240255.4296889473</v>
      </c>
      <c r="R102" s="217">
        <f t="shared" si="40"/>
        <v>67.916666666666558</v>
      </c>
      <c r="S102" s="240">
        <f t="shared" ca="1" si="30"/>
        <v>62856.639291942876</v>
      </c>
      <c r="T102" s="240">
        <f t="shared" ca="1" si="41"/>
        <v>5279957.7005232088</v>
      </c>
      <c r="V102" s="217">
        <f t="shared" si="42"/>
        <v>67.916666666666558</v>
      </c>
      <c r="W102" s="217">
        <f t="shared" ca="1" si="43"/>
        <v>0</v>
      </c>
      <c r="X102" s="240">
        <f t="shared" ca="1" si="44"/>
        <v>76363.675936010943</v>
      </c>
      <c r="Y102" s="240">
        <f t="shared" ca="1" si="45"/>
        <v>6213246.5327535821</v>
      </c>
      <c r="AA102" s="217">
        <f t="shared" si="46"/>
        <v>67.916666666666558</v>
      </c>
      <c r="AB102" s="216">
        <f t="shared" ca="1" si="31"/>
        <v>62856.639291942876</v>
      </c>
      <c r="AC102" s="240">
        <f t="shared" ca="1" si="47"/>
        <v>5279957.7005232088</v>
      </c>
      <c r="AD102" s="216"/>
      <c r="AF102" s="210">
        <f>ROW()</f>
        <v>102</v>
      </c>
      <c r="AG102" s="217">
        <f t="shared" si="48"/>
        <v>67.916666666666558</v>
      </c>
      <c r="AH102" s="217">
        <f t="shared" ca="1" si="27"/>
        <v>0</v>
      </c>
      <c r="AI102" s="217">
        <f ca="1">IF(AH101&lt;&gt;0,FINANCIAMIENTO!$F$5,0)</f>
        <v>0</v>
      </c>
      <c r="AJ102" s="240" t="b">
        <f t="shared" ca="1" si="50"/>
        <v>0</v>
      </c>
      <c r="AK102" s="240">
        <f t="shared" ca="1" si="32"/>
        <v>0</v>
      </c>
      <c r="AL102" s="240">
        <f t="shared" ca="1" si="33"/>
        <v>76363.675936010943</v>
      </c>
      <c r="AM102" s="240">
        <f t="shared" ca="1" si="34"/>
        <v>76363.675936010943</v>
      </c>
      <c r="AN102" s="240">
        <f t="shared" ca="1" si="49"/>
        <v>5723613.9918118343</v>
      </c>
    </row>
    <row r="103" spans="9:40">
      <c r="I103" s="217">
        <f t="shared" si="35"/>
        <v>67.999999999999886</v>
      </c>
      <c r="J103" s="216">
        <f t="shared" ca="1" si="29"/>
        <v>62856.639291942876</v>
      </c>
      <c r="K103" s="216">
        <f t="shared" ca="1" si="36"/>
        <v>5342814.3398151519</v>
      </c>
      <c r="M103" s="217">
        <f t="shared" si="37"/>
        <v>67.999999999999886</v>
      </c>
      <c r="N103" s="217">
        <f t="shared" ca="1" si="51"/>
        <v>0</v>
      </c>
      <c r="O103" s="216">
        <f t="shared" ca="1" si="38"/>
        <v>76363.675936010943</v>
      </c>
      <c r="P103" s="216">
        <f t="shared" ca="1" si="39"/>
        <v>6316619.1056249579</v>
      </c>
      <c r="R103" s="217">
        <f t="shared" si="40"/>
        <v>67.999999999999886</v>
      </c>
      <c r="S103" s="240">
        <f t="shared" ca="1" si="30"/>
        <v>62856.639291942876</v>
      </c>
      <c r="T103" s="240">
        <f t="shared" ca="1" si="41"/>
        <v>5342814.3398151519</v>
      </c>
      <c r="V103" s="217">
        <f t="shared" si="42"/>
        <v>67.999999999999886</v>
      </c>
      <c r="W103" s="217">
        <f t="shared" ca="1" si="43"/>
        <v>0</v>
      </c>
      <c r="X103" s="240">
        <f t="shared" ca="1" si="44"/>
        <v>76363.675936010943</v>
      </c>
      <c r="Y103" s="240">
        <f t="shared" ca="1" si="45"/>
        <v>6289610.2086895928</v>
      </c>
      <c r="AA103" s="217">
        <f t="shared" si="46"/>
        <v>67.999999999999886</v>
      </c>
      <c r="AB103" s="216">
        <f t="shared" ca="1" si="31"/>
        <v>62856.639291942876</v>
      </c>
      <c r="AC103" s="240">
        <f t="shared" ca="1" si="47"/>
        <v>5342814.3398151519</v>
      </c>
      <c r="AD103" s="216"/>
      <c r="AF103" s="210">
        <f>ROW()</f>
        <v>103</v>
      </c>
      <c r="AG103" s="217">
        <f t="shared" si="48"/>
        <v>67.999999999999886</v>
      </c>
      <c r="AH103" s="217">
        <f t="shared" ref="AH103:AH134" ca="1" si="52">+IF(AND($AH$3&gt;=AG104-0.02,$N$3&lt;=AG104+0.02),$AH$4,0)</f>
        <v>0</v>
      </c>
      <c r="AI103" s="217">
        <f ca="1">IF(AH102&lt;&gt;0,FINANCIAMIENTO!$F$5,0)</f>
        <v>0</v>
      </c>
      <c r="AJ103" s="240" t="b">
        <f t="shared" ca="1" si="50"/>
        <v>0</v>
      </c>
      <c r="AK103" s="240">
        <f t="shared" ca="1" si="32"/>
        <v>0</v>
      </c>
      <c r="AL103" s="240">
        <f t="shared" ca="1" si="33"/>
        <v>76363.675936010943</v>
      </c>
      <c r="AM103" s="240">
        <f t="shared" ca="1" si="34"/>
        <v>76363.675936010943</v>
      </c>
      <c r="AN103" s="240">
        <f t="shared" ca="1" si="49"/>
        <v>5799977.6677478449</v>
      </c>
    </row>
    <row r="104" spans="9:40">
      <c r="I104" s="217">
        <f t="shared" si="35"/>
        <v>68.083333333333215</v>
      </c>
      <c r="J104" s="216">
        <f t="shared" ca="1" si="29"/>
        <v>62856.639291942876</v>
      </c>
      <c r="K104" s="216">
        <f t="shared" ca="1" si="36"/>
        <v>5405670.9791070949</v>
      </c>
      <c r="M104" s="217">
        <f t="shared" si="37"/>
        <v>68.083333333333215</v>
      </c>
      <c r="N104" s="217">
        <f t="shared" ca="1" si="51"/>
        <v>0</v>
      </c>
      <c r="O104" s="216">
        <f t="shared" ca="1" si="38"/>
        <v>76363.675936010943</v>
      </c>
      <c r="P104" s="216">
        <f t="shared" ca="1" si="39"/>
        <v>6392982.7815609686</v>
      </c>
      <c r="R104" s="217">
        <f t="shared" si="40"/>
        <v>68.083333333333215</v>
      </c>
      <c r="S104" s="240">
        <f t="shared" ca="1" si="30"/>
        <v>62856.639291942876</v>
      </c>
      <c r="T104" s="240">
        <f t="shared" ca="1" si="41"/>
        <v>5405670.9791070949</v>
      </c>
      <c r="V104" s="217">
        <f t="shared" si="42"/>
        <v>68.083333333333215</v>
      </c>
      <c r="W104" s="217">
        <f t="shared" ca="1" si="43"/>
        <v>0</v>
      </c>
      <c r="X104" s="240">
        <f t="shared" ca="1" si="44"/>
        <v>76363.675936010943</v>
      </c>
      <c r="Y104" s="240">
        <f t="shared" ca="1" si="45"/>
        <v>6365973.8846256034</v>
      </c>
      <c r="AA104" s="217">
        <f t="shared" si="46"/>
        <v>68.083333333333215</v>
      </c>
      <c r="AB104" s="216">
        <f t="shared" ca="1" si="31"/>
        <v>62856.639291942876</v>
      </c>
      <c r="AC104" s="240">
        <f t="shared" ca="1" si="47"/>
        <v>5405670.9791070949</v>
      </c>
      <c r="AD104" s="216"/>
      <c r="AF104" s="210">
        <f>ROW()</f>
        <v>104</v>
      </c>
      <c r="AG104" s="217">
        <f t="shared" si="48"/>
        <v>68.083333333333215</v>
      </c>
      <c r="AH104" s="217">
        <f t="shared" ca="1" si="52"/>
        <v>0</v>
      </c>
      <c r="AI104" s="217">
        <f ca="1">IF(AH103&lt;&gt;0,FINANCIAMIENTO!$F$5,0)</f>
        <v>0</v>
      </c>
      <c r="AJ104" s="240" t="b">
        <f t="shared" ca="1" si="50"/>
        <v>0</v>
      </c>
      <c r="AK104" s="240">
        <f t="shared" ca="1" si="32"/>
        <v>0</v>
      </c>
      <c r="AL104" s="240">
        <f t="shared" ca="1" si="33"/>
        <v>76363.675936010943</v>
      </c>
      <c r="AM104" s="240">
        <f t="shared" ca="1" si="34"/>
        <v>76363.675936010943</v>
      </c>
      <c r="AN104" s="240">
        <f t="shared" ca="1" si="49"/>
        <v>5876341.3436838556</v>
      </c>
    </row>
    <row r="105" spans="9:40">
      <c r="I105" s="217">
        <f t="shared" si="35"/>
        <v>68.166666666666544</v>
      </c>
      <c r="J105" s="216">
        <f t="shared" ca="1" si="29"/>
        <v>62856.639291942876</v>
      </c>
      <c r="K105" s="216">
        <f t="shared" ca="1" si="36"/>
        <v>5468527.618399038</v>
      </c>
      <c r="M105" s="217">
        <f t="shared" si="37"/>
        <v>68.166666666666544</v>
      </c>
      <c r="N105" s="217">
        <f t="shared" ca="1" si="51"/>
        <v>0</v>
      </c>
      <c r="O105" s="216">
        <f t="shared" ca="1" si="38"/>
        <v>76363.675936010943</v>
      </c>
      <c r="P105" s="216">
        <f t="shared" ca="1" si="39"/>
        <v>6469346.4574969793</v>
      </c>
      <c r="R105" s="217">
        <f t="shared" si="40"/>
        <v>68.166666666666544</v>
      </c>
      <c r="S105" s="240">
        <f t="shared" ca="1" si="30"/>
        <v>62856.639291942876</v>
      </c>
      <c r="T105" s="240">
        <f t="shared" ca="1" si="41"/>
        <v>5468527.618399038</v>
      </c>
      <c r="V105" s="217">
        <f t="shared" si="42"/>
        <v>68.166666666666544</v>
      </c>
      <c r="W105" s="217">
        <f t="shared" ca="1" si="43"/>
        <v>0</v>
      </c>
      <c r="X105" s="240">
        <f t="shared" ca="1" si="44"/>
        <v>76363.675936010943</v>
      </c>
      <c r="Y105" s="240">
        <f t="shared" ca="1" si="45"/>
        <v>6442337.5605616141</v>
      </c>
      <c r="AA105" s="217">
        <f t="shared" si="46"/>
        <v>68.166666666666544</v>
      </c>
      <c r="AB105" s="216">
        <f t="shared" ca="1" si="31"/>
        <v>62856.639291942876</v>
      </c>
      <c r="AC105" s="240">
        <f t="shared" ca="1" si="47"/>
        <v>5468527.618399038</v>
      </c>
      <c r="AD105" s="216"/>
      <c r="AF105" s="210">
        <f>ROW()</f>
        <v>105</v>
      </c>
      <c r="AG105" s="217">
        <f t="shared" si="48"/>
        <v>68.166666666666544</v>
      </c>
      <c r="AH105" s="217">
        <f t="shared" ca="1" si="52"/>
        <v>0</v>
      </c>
      <c r="AI105" s="217">
        <f ca="1">IF(AH104&lt;&gt;0,FINANCIAMIENTO!$F$5,0)</f>
        <v>0</v>
      </c>
      <c r="AJ105" s="240" t="b">
        <f t="shared" ca="1" si="50"/>
        <v>0</v>
      </c>
      <c r="AK105" s="240">
        <f t="shared" ca="1" si="32"/>
        <v>0</v>
      </c>
      <c r="AL105" s="240">
        <f t="shared" ca="1" si="33"/>
        <v>76363.675936010943</v>
      </c>
      <c r="AM105" s="240">
        <f t="shared" ca="1" si="34"/>
        <v>76363.675936010943</v>
      </c>
      <c r="AN105" s="240">
        <f t="shared" ca="1" si="49"/>
        <v>5952705.0196198663</v>
      </c>
    </row>
    <row r="106" spans="9:40">
      <c r="I106" s="217">
        <f t="shared" si="35"/>
        <v>68.249999999999872</v>
      </c>
      <c r="J106" s="216">
        <f t="shared" ca="1" si="29"/>
        <v>62856.639291942876</v>
      </c>
      <c r="K106" s="216">
        <f t="shared" ca="1" si="36"/>
        <v>5531384.257690981</v>
      </c>
      <c r="M106" s="217">
        <f t="shared" si="37"/>
        <v>68.249999999999872</v>
      </c>
      <c r="N106" s="217">
        <f t="shared" ca="1" si="51"/>
        <v>0</v>
      </c>
      <c r="O106" s="216">
        <f t="shared" ca="1" si="38"/>
        <v>76363.675936010943</v>
      </c>
      <c r="P106" s="216">
        <f t="shared" ca="1" si="39"/>
        <v>6545710.1334329899</v>
      </c>
      <c r="R106" s="217">
        <f t="shared" si="40"/>
        <v>68.249999999999872</v>
      </c>
      <c r="S106" s="240">
        <f t="shared" ca="1" si="30"/>
        <v>62856.639291942876</v>
      </c>
      <c r="T106" s="240">
        <f t="shared" ca="1" si="41"/>
        <v>5531384.257690981</v>
      </c>
      <c r="V106" s="217">
        <f t="shared" si="42"/>
        <v>68.249999999999872</v>
      </c>
      <c r="W106" s="217">
        <f t="shared" ca="1" si="43"/>
        <v>0</v>
      </c>
      <c r="X106" s="240">
        <f t="shared" ca="1" si="44"/>
        <v>76363.675936010943</v>
      </c>
      <c r="Y106" s="240">
        <f t="shared" ca="1" si="45"/>
        <v>6518701.2364976248</v>
      </c>
      <c r="AA106" s="217">
        <f t="shared" si="46"/>
        <v>68.249999999999872</v>
      </c>
      <c r="AB106" s="216">
        <f t="shared" ca="1" si="31"/>
        <v>62856.639291942876</v>
      </c>
      <c r="AC106" s="240">
        <f t="shared" ca="1" si="47"/>
        <v>5531384.257690981</v>
      </c>
      <c r="AD106" s="216"/>
      <c r="AF106" s="210">
        <f>ROW()</f>
        <v>106</v>
      </c>
      <c r="AG106" s="217">
        <f t="shared" si="48"/>
        <v>68.249999999999872</v>
      </c>
      <c r="AH106" s="217">
        <f t="shared" ca="1" si="52"/>
        <v>0</v>
      </c>
      <c r="AI106" s="217">
        <f ca="1">IF(AH105&lt;&gt;0,FINANCIAMIENTO!$F$5,0)</f>
        <v>0</v>
      </c>
      <c r="AJ106" s="240" t="b">
        <f t="shared" ca="1" si="50"/>
        <v>0</v>
      </c>
      <c r="AK106" s="240">
        <f t="shared" ca="1" si="32"/>
        <v>0</v>
      </c>
      <c r="AL106" s="240">
        <f t="shared" ca="1" si="33"/>
        <v>76363.675936010943</v>
      </c>
      <c r="AM106" s="240">
        <f t="shared" ca="1" si="34"/>
        <v>76363.675936010943</v>
      </c>
      <c r="AN106" s="240">
        <f t="shared" ca="1" si="49"/>
        <v>6029068.6955558769</v>
      </c>
    </row>
    <row r="107" spans="9:40">
      <c r="I107" s="217">
        <f t="shared" si="35"/>
        <v>68.333333333333201</v>
      </c>
      <c r="J107" s="216">
        <f t="shared" ca="1" si="29"/>
        <v>62856.639291942876</v>
      </c>
      <c r="K107" s="216">
        <f t="shared" ca="1" si="36"/>
        <v>5594240.8969829241</v>
      </c>
      <c r="M107" s="217">
        <f t="shared" si="37"/>
        <v>68.333333333333201</v>
      </c>
      <c r="N107" s="217">
        <f t="shared" ca="1" si="51"/>
        <v>0</v>
      </c>
      <c r="O107" s="216">
        <f t="shared" ca="1" si="38"/>
        <v>76363.675936010943</v>
      </c>
      <c r="P107" s="216">
        <f t="shared" ca="1" si="39"/>
        <v>6622073.8093690006</v>
      </c>
      <c r="R107" s="217">
        <f t="shared" si="40"/>
        <v>68.333333333333201</v>
      </c>
      <c r="S107" s="240">
        <f t="shared" ca="1" si="30"/>
        <v>62856.639291942876</v>
      </c>
      <c r="T107" s="240">
        <f t="shared" ca="1" si="41"/>
        <v>5594240.8969829241</v>
      </c>
      <c r="V107" s="217">
        <f t="shared" si="42"/>
        <v>68.333333333333201</v>
      </c>
      <c r="W107" s="217">
        <f t="shared" ca="1" si="43"/>
        <v>0</v>
      </c>
      <c r="X107" s="240">
        <f t="shared" ca="1" si="44"/>
        <v>76363.675936010943</v>
      </c>
      <c r="Y107" s="240">
        <f t="shared" ca="1" si="45"/>
        <v>6595064.9124336354</v>
      </c>
      <c r="AA107" s="217">
        <f t="shared" si="46"/>
        <v>68.333333333333201</v>
      </c>
      <c r="AB107" s="216">
        <f t="shared" ca="1" si="31"/>
        <v>62856.639291942876</v>
      </c>
      <c r="AC107" s="240">
        <f t="shared" ca="1" si="47"/>
        <v>5594240.8969829241</v>
      </c>
      <c r="AD107" s="216"/>
      <c r="AF107" s="210">
        <f>ROW()</f>
        <v>107</v>
      </c>
      <c r="AG107" s="217">
        <f t="shared" si="48"/>
        <v>68.333333333333201</v>
      </c>
      <c r="AH107" s="217">
        <f t="shared" ca="1" si="52"/>
        <v>0</v>
      </c>
      <c r="AI107" s="217">
        <f ca="1">IF(AH106&lt;&gt;0,FINANCIAMIENTO!$F$5,0)</f>
        <v>0</v>
      </c>
      <c r="AJ107" s="240" t="b">
        <f t="shared" ca="1" si="50"/>
        <v>0</v>
      </c>
      <c r="AK107" s="240">
        <f t="shared" ca="1" si="32"/>
        <v>0</v>
      </c>
      <c r="AL107" s="240">
        <f t="shared" ca="1" si="33"/>
        <v>76363.675936010943</v>
      </c>
      <c r="AM107" s="240">
        <f t="shared" ca="1" si="34"/>
        <v>76363.675936010943</v>
      </c>
      <c r="AN107" s="240">
        <f t="shared" ca="1" si="49"/>
        <v>6105432.3714918876</v>
      </c>
    </row>
    <row r="108" spans="9:40">
      <c r="I108" s="217">
        <f t="shared" si="35"/>
        <v>68.416666666666529</v>
      </c>
      <c r="J108" s="216">
        <f t="shared" ca="1" si="29"/>
        <v>62856.639291942876</v>
      </c>
      <c r="K108" s="216">
        <f t="shared" ca="1" si="36"/>
        <v>5657097.5362748671</v>
      </c>
      <c r="M108" s="217">
        <f t="shared" si="37"/>
        <v>68.416666666666529</v>
      </c>
      <c r="N108" s="217">
        <f t="shared" ca="1" si="51"/>
        <v>0</v>
      </c>
      <c r="O108" s="216">
        <f t="shared" ca="1" si="38"/>
        <v>76363.675936010943</v>
      </c>
      <c r="P108" s="216">
        <f t="shared" ca="1" si="39"/>
        <v>6698437.4853050113</v>
      </c>
      <c r="R108" s="217">
        <f t="shared" si="40"/>
        <v>68.416666666666529</v>
      </c>
      <c r="S108" s="240">
        <f t="shared" ca="1" si="30"/>
        <v>62856.639291942876</v>
      </c>
      <c r="T108" s="240">
        <f t="shared" ca="1" si="41"/>
        <v>5657097.5362748671</v>
      </c>
      <c r="V108" s="217">
        <f t="shared" si="42"/>
        <v>68.416666666666529</v>
      </c>
      <c r="W108" s="217">
        <f t="shared" ca="1" si="43"/>
        <v>0</v>
      </c>
      <c r="X108" s="240">
        <f t="shared" ca="1" si="44"/>
        <v>76363.675936010943</v>
      </c>
      <c r="Y108" s="240">
        <f t="shared" ca="1" si="45"/>
        <v>6671428.5883696461</v>
      </c>
      <c r="AA108" s="217">
        <f t="shared" si="46"/>
        <v>68.416666666666529</v>
      </c>
      <c r="AB108" s="216">
        <f t="shared" ca="1" si="31"/>
        <v>62856.639291942876</v>
      </c>
      <c r="AC108" s="240">
        <f t="shared" ca="1" si="47"/>
        <v>5657097.5362748671</v>
      </c>
      <c r="AD108" s="216"/>
      <c r="AF108" s="210">
        <f>ROW()</f>
        <v>108</v>
      </c>
      <c r="AG108" s="217">
        <f t="shared" si="48"/>
        <v>68.416666666666529</v>
      </c>
      <c r="AH108" s="217">
        <f t="shared" ca="1" si="52"/>
        <v>0</v>
      </c>
      <c r="AI108" s="217">
        <f ca="1">IF(AH107&lt;&gt;0,FINANCIAMIENTO!$F$5,0)</f>
        <v>0</v>
      </c>
      <c r="AJ108" s="240" t="b">
        <f t="shared" ca="1" si="50"/>
        <v>0</v>
      </c>
      <c r="AK108" s="240">
        <f t="shared" ca="1" si="32"/>
        <v>0</v>
      </c>
      <c r="AL108" s="240">
        <f t="shared" ca="1" si="33"/>
        <v>76363.675936010943</v>
      </c>
      <c r="AM108" s="240">
        <f t="shared" ca="1" si="34"/>
        <v>76363.675936010943</v>
      </c>
      <c r="AN108" s="240">
        <f t="shared" ca="1" si="49"/>
        <v>6181796.0474278983</v>
      </c>
    </row>
    <row r="109" spans="9:40">
      <c r="I109" s="217">
        <f t="shared" si="35"/>
        <v>68.499999999999858</v>
      </c>
      <c r="J109" s="216">
        <f t="shared" ca="1" si="29"/>
        <v>62856.639291942876</v>
      </c>
      <c r="K109" s="216">
        <f t="shared" ca="1" si="36"/>
        <v>5719954.1755668102</v>
      </c>
      <c r="M109" s="217">
        <f t="shared" si="37"/>
        <v>68.499999999999858</v>
      </c>
      <c r="N109" s="217">
        <f t="shared" ca="1" si="51"/>
        <v>0</v>
      </c>
      <c r="O109" s="216">
        <f t="shared" ca="1" si="38"/>
        <v>76363.675936010943</v>
      </c>
      <c r="P109" s="216">
        <f t="shared" ca="1" si="39"/>
        <v>6774801.1612410219</v>
      </c>
      <c r="R109" s="217">
        <f t="shared" si="40"/>
        <v>68.499999999999858</v>
      </c>
      <c r="S109" s="240">
        <f t="shared" ca="1" si="30"/>
        <v>62856.639291942876</v>
      </c>
      <c r="T109" s="240">
        <f t="shared" ca="1" si="41"/>
        <v>5719954.1755668102</v>
      </c>
      <c r="V109" s="217">
        <f t="shared" si="42"/>
        <v>68.499999999999858</v>
      </c>
      <c r="W109" s="217">
        <f t="shared" ca="1" si="43"/>
        <v>0</v>
      </c>
      <c r="X109" s="240">
        <f t="shared" ca="1" si="44"/>
        <v>76363.675936010943</v>
      </c>
      <c r="Y109" s="240">
        <f t="shared" ca="1" si="45"/>
        <v>6747792.2643056568</v>
      </c>
      <c r="AA109" s="217">
        <f t="shared" si="46"/>
        <v>68.499999999999858</v>
      </c>
      <c r="AB109" s="216">
        <f t="shared" ca="1" si="31"/>
        <v>62856.639291942876</v>
      </c>
      <c r="AC109" s="240">
        <f t="shared" ca="1" si="47"/>
        <v>5719954.1755668102</v>
      </c>
      <c r="AD109" s="216"/>
      <c r="AF109" s="210">
        <f>ROW()</f>
        <v>109</v>
      </c>
      <c r="AG109" s="217">
        <f t="shared" si="48"/>
        <v>68.499999999999858</v>
      </c>
      <c r="AH109" s="217">
        <f t="shared" ca="1" si="52"/>
        <v>0</v>
      </c>
      <c r="AI109" s="217">
        <f ca="1">IF(AH108&lt;&gt;0,FINANCIAMIENTO!$F$5,0)</f>
        <v>0</v>
      </c>
      <c r="AJ109" s="240" t="b">
        <f t="shared" ca="1" si="50"/>
        <v>0</v>
      </c>
      <c r="AK109" s="240">
        <f t="shared" ca="1" si="32"/>
        <v>0</v>
      </c>
      <c r="AL109" s="240">
        <f t="shared" ca="1" si="33"/>
        <v>76363.675936010943</v>
      </c>
      <c r="AM109" s="240">
        <f t="shared" ca="1" si="34"/>
        <v>76363.675936010943</v>
      </c>
      <c r="AN109" s="240">
        <f t="shared" ca="1" si="49"/>
        <v>6258159.7233639089</v>
      </c>
    </row>
    <row r="110" spans="9:40">
      <c r="I110" s="217">
        <f t="shared" si="35"/>
        <v>68.583333333333186</v>
      </c>
      <c r="J110" s="216">
        <f t="shared" ca="1" si="29"/>
        <v>62856.639291942876</v>
      </c>
      <c r="K110" s="216">
        <f t="shared" ca="1" si="36"/>
        <v>5782810.8148587532</v>
      </c>
      <c r="M110" s="217">
        <f t="shared" si="37"/>
        <v>68.583333333333186</v>
      </c>
      <c r="N110" s="217">
        <f t="shared" ca="1" si="51"/>
        <v>0</v>
      </c>
      <c r="O110" s="216">
        <f t="shared" ca="1" si="38"/>
        <v>76363.675936010943</v>
      </c>
      <c r="P110" s="216">
        <f t="shared" ca="1" si="39"/>
        <v>6851164.8371770326</v>
      </c>
      <c r="R110" s="217">
        <f t="shared" si="40"/>
        <v>68.583333333333186</v>
      </c>
      <c r="S110" s="240">
        <f t="shared" ca="1" si="30"/>
        <v>62856.639291942876</v>
      </c>
      <c r="T110" s="240">
        <f t="shared" ca="1" si="41"/>
        <v>5782810.8148587532</v>
      </c>
      <c r="V110" s="217">
        <f t="shared" si="42"/>
        <v>68.583333333333186</v>
      </c>
      <c r="W110" s="217">
        <f t="shared" ca="1" si="43"/>
        <v>0</v>
      </c>
      <c r="X110" s="240">
        <f t="shared" ca="1" si="44"/>
        <v>76363.675936010943</v>
      </c>
      <c r="Y110" s="240">
        <f t="shared" ca="1" si="45"/>
        <v>6824155.9402416674</v>
      </c>
      <c r="AA110" s="217">
        <f t="shared" si="46"/>
        <v>68.583333333333186</v>
      </c>
      <c r="AB110" s="216">
        <f t="shared" ca="1" si="31"/>
        <v>62856.639291942876</v>
      </c>
      <c r="AC110" s="240">
        <f t="shared" ca="1" si="47"/>
        <v>5782810.8148587532</v>
      </c>
      <c r="AD110" s="216"/>
      <c r="AF110" s="210">
        <f>ROW()</f>
        <v>110</v>
      </c>
      <c r="AG110" s="217">
        <f t="shared" si="48"/>
        <v>68.583333333333186</v>
      </c>
      <c r="AH110" s="217">
        <f t="shared" ca="1" si="52"/>
        <v>0</v>
      </c>
      <c r="AI110" s="217">
        <f ca="1">IF(AH109&lt;&gt;0,FINANCIAMIENTO!$F$5,0)</f>
        <v>0</v>
      </c>
      <c r="AJ110" s="240" t="b">
        <f t="shared" ca="1" si="50"/>
        <v>0</v>
      </c>
      <c r="AK110" s="240">
        <f t="shared" ca="1" si="32"/>
        <v>0</v>
      </c>
      <c r="AL110" s="240">
        <f t="shared" ca="1" si="33"/>
        <v>76363.675936010943</v>
      </c>
      <c r="AM110" s="240">
        <f t="shared" ca="1" si="34"/>
        <v>76363.675936010943</v>
      </c>
      <c r="AN110" s="240">
        <f t="shared" ca="1" si="49"/>
        <v>6334523.3992999196</v>
      </c>
    </row>
    <row r="111" spans="9:40">
      <c r="I111" s="217">
        <f t="shared" si="35"/>
        <v>68.666666666666515</v>
      </c>
      <c r="J111" s="216">
        <f t="shared" ca="1" si="29"/>
        <v>62856.639291942876</v>
      </c>
      <c r="K111" s="216">
        <f t="shared" ca="1" si="36"/>
        <v>5845667.4541506963</v>
      </c>
      <c r="M111" s="217">
        <f t="shared" si="37"/>
        <v>68.666666666666515</v>
      </c>
      <c r="N111" s="217">
        <f t="shared" ca="1" si="51"/>
        <v>0</v>
      </c>
      <c r="O111" s="216">
        <f t="shared" ca="1" si="38"/>
        <v>76363.675936010943</v>
      </c>
      <c r="P111" s="216">
        <f t="shared" ca="1" si="39"/>
        <v>6927528.5131130433</v>
      </c>
      <c r="R111" s="217">
        <f t="shared" si="40"/>
        <v>68.666666666666515</v>
      </c>
      <c r="S111" s="240">
        <f t="shared" ca="1" si="30"/>
        <v>62856.639291942876</v>
      </c>
      <c r="T111" s="240">
        <f t="shared" ca="1" si="41"/>
        <v>5845667.4541506963</v>
      </c>
      <c r="V111" s="217">
        <f t="shared" si="42"/>
        <v>68.666666666666515</v>
      </c>
      <c r="W111" s="217">
        <f t="shared" ca="1" si="43"/>
        <v>0</v>
      </c>
      <c r="X111" s="240">
        <f t="shared" ca="1" si="44"/>
        <v>76363.675936010943</v>
      </c>
      <c r="Y111" s="240">
        <f t="shared" ca="1" si="45"/>
        <v>6900519.6161776781</v>
      </c>
      <c r="AA111" s="217">
        <f t="shared" si="46"/>
        <v>68.666666666666515</v>
      </c>
      <c r="AB111" s="216">
        <f t="shared" ca="1" si="31"/>
        <v>62856.639291942876</v>
      </c>
      <c r="AC111" s="240">
        <f t="shared" ca="1" si="47"/>
        <v>5845667.4541506963</v>
      </c>
      <c r="AD111" s="216"/>
      <c r="AF111" s="210">
        <f>ROW()</f>
        <v>111</v>
      </c>
      <c r="AG111" s="217">
        <f t="shared" si="48"/>
        <v>68.666666666666515</v>
      </c>
      <c r="AH111" s="217">
        <f t="shared" ca="1" si="52"/>
        <v>0</v>
      </c>
      <c r="AI111" s="217">
        <f ca="1">IF(AH110&lt;&gt;0,FINANCIAMIENTO!$F$5,0)</f>
        <v>0</v>
      </c>
      <c r="AJ111" s="240" t="b">
        <f t="shared" ca="1" si="50"/>
        <v>0</v>
      </c>
      <c r="AK111" s="240">
        <f t="shared" ca="1" si="32"/>
        <v>0</v>
      </c>
      <c r="AL111" s="240">
        <f t="shared" ca="1" si="33"/>
        <v>76363.675936010943</v>
      </c>
      <c r="AM111" s="240">
        <f t="shared" ca="1" si="34"/>
        <v>76363.675936010943</v>
      </c>
      <c r="AN111" s="240">
        <f t="shared" ca="1" si="49"/>
        <v>6410887.0752359303</v>
      </c>
    </row>
    <row r="112" spans="9:40">
      <c r="I112" s="217">
        <f t="shared" si="35"/>
        <v>68.749999999999844</v>
      </c>
      <c r="J112" s="216">
        <f t="shared" ca="1" si="29"/>
        <v>62856.639291942876</v>
      </c>
      <c r="K112" s="216">
        <f t="shared" ca="1" si="36"/>
        <v>5908524.0934426393</v>
      </c>
      <c r="M112" s="217">
        <f t="shared" si="37"/>
        <v>68.749999999999844</v>
      </c>
      <c r="N112" s="217">
        <f t="shared" ca="1" si="51"/>
        <v>0</v>
      </c>
      <c r="O112" s="216">
        <f t="shared" ca="1" si="38"/>
        <v>76363.675936010943</v>
      </c>
      <c r="P112" s="216">
        <f t="shared" ca="1" si="39"/>
        <v>7003892.1890490539</v>
      </c>
      <c r="R112" s="217">
        <f t="shared" si="40"/>
        <v>68.749999999999844</v>
      </c>
      <c r="S112" s="240">
        <f t="shared" ca="1" si="30"/>
        <v>62856.639291942876</v>
      </c>
      <c r="T112" s="240">
        <f t="shared" ca="1" si="41"/>
        <v>5908524.0934426393</v>
      </c>
      <c r="V112" s="217">
        <f t="shared" si="42"/>
        <v>68.749999999999844</v>
      </c>
      <c r="W112" s="217">
        <f t="shared" ca="1" si="43"/>
        <v>0</v>
      </c>
      <c r="X112" s="240">
        <f t="shared" ca="1" si="44"/>
        <v>76363.675936010943</v>
      </c>
      <c r="Y112" s="240">
        <f t="shared" ca="1" si="45"/>
        <v>6976883.2921136888</v>
      </c>
      <c r="AA112" s="217">
        <f t="shared" si="46"/>
        <v>68.749999999999844</v>
      </c>
      <c r="AB112" s="216">
        <f t="shared" ca="1" si="31"/>
        <v>62856.639291942876</v>
      </c>
      <c r="AC112" s="240">
        <f t="shared" ca="1" si="47"/>
        <v>5908524.0934426393</v>
      </c>
      <c r="AD112" s="216"/>
      <c r="AF112" s="210">
        <f>ROW()</f>
        <v>112</v>
      </c>
      <c r="AG112" s="217">
        <f t="shared" si="48"/>
        <v>68.749999999999844</v>
      </c>
      <c r="AH112" s="217">
        <f t="shared" ca="1" si="52"/>
        <v>0</v>
      </c>
      <c r="AI112" s="217">
        <f ca="1">IF(AH111&lt;&gt;0,FINANCIAMIENTO!$F$5,0)</f>
        <v>0</v>
      </c>
      <c r="AJ112" s="240" t="b">
        <f t="shared" ca="1" si="50"/>
        <v>0</v>
      </c>
      <c r="AK112" s="240">
        <f t="shared" ca="1" si="32"/>
        <v>0</v>
      </c>
      <c r="AL112" s="240">
        <f t="shared" ca="1" si="33"/>
        <v>76363.675936010943</v>
      </c>
      <c r="AM112" s="240">
        <f t="shared" ca="1" si="34"/>
        <v>76363.675936010943</v>
      </c>
      <c r="AN112" s="240">
        <f t="shared" ca="1" si="49"/>
        <v>6487250.7511719409</v>
      </c>
    </row>
    <row r="113" spans="9:40">
      <c r="I113" s="217">
        <f t="shared" si="35"/>
        <v>68.833333333333172</v>
      </c>
      <c r="J113" s="216">
        <f t="shared" ca="1" si="29"/>
        <v>62856.639291942876</v>
      </c>
      <c r="K113" s="216">
        <f t="shared" ca="1" si="36"/>
        <v>5971380.7327345824</v>
      </c>
      <c r="M113" s="217">
        <f t="shared" si="37"/>
        <v>68.833333333333172</v>
      </c>
      <c r="N113" s="217">
        <f t="shared" ca="1" si="51"/>
        <v>0</v>
      </c>
      <c r="O113" s="216">
        <f t="shared" ca="1" si="38"/>
        <v>76363.675936010943</v>
      </c>
      <c r="P113" s="216">
        <f t="shared" ca="1" si="39"/>
        <v>7080255.8649850646</v>
      </c>
      <c r="R113" s="217">
        <f t="shared" si="40"/>
        <v>68.833333333333172</v>
      </c>
      <c r="S113" s="240">
        <f t="shared" ca="1" si="30"/>
        <v>62856.639291942876</v>
      </c>
      <c r="T113" s="240">
        <f t="shared" ca="1" si="41"/>
        <v>5971380.7327345824</v>
      </c>
      <c r="V113" s="217">
        <f t="shared" si="42"/>
        <v>68.833333333333172</v>
      </c>
      <c r="W113" s="217">
        <f t="shared" ca="1" si="43"/>
        <v>0</v>
      </c>
      <c r="X113" s="240">
        <f t="shared" ca="1" si="44"/>
        <v>76363.675936010943</v>
      </c>
      <c r="Y113" s="240">
        <f t="shared" ca="1" si="45"/>
        <v>7053246.9680496994</v>
      </c>
      <c r="AA113" s="217">
        <f t="shared" si="46"/>
        <v>68.833333333333172</v>
      </c>
      <c r="AB113" s="216">
        <f t="shared" ca="1" si="31"/>
        <v>62856.639291942876</v>
      </c>
      <c r="AC113" s="240">
        <f t="shared" ca="1" si="47"/>
        <v>5971380.7327345824</v>
      </c>
      <c r="AD113" s="216"/>
      <c r="AF113" s="210">
        <f>ROW()</f>
        <v>113</v>
      </c>
      <c r="AG113" s="217">
        <f t="shared" si="48"/>
        <v>68.833333333333172</v>
      </c>
      <c r="AH113" s="217">
        <f t="shared" ca="1" si="52"/>
        <v>0</v>
      </c>
      <c r="AI113" s="217">
        <f ca="1">IF(AH112&lt;&gt;0,FINANCIAMIENTO!$F$5,0)</f>
        <v>0</v>
      </c>
      <c r="AJ113" s="240" t="b">
        <f t="shared" ca="1" si="50"/>
        <v>0</v>
      </c>
      <c r="AK113" s="240">
        <f t="shared" ca="1" si="32"/>
        <v>0</v>
      </c>
      <c r="AL113" s="240">
        <f t="shared" ca="1" si="33"/>
        <v>76363.675936010943</v>
      </c>
      <c r="AM113" s="240">
        <f t="shared" ca="1" si="34"/>
        <v>76363.675936010943</v>
      </c>
      <c r="AN113" s="240">
        <f t="shared" ca="1" si="49"/>
        <v>6563614.4271079516</v>
      </c>
    </row>
    <row r="114" spans="9:40">
      <c r="I114" s="217">
        <f t="shared" si="35"/>
        <v>68.916666666666501</v>
      </c>
      <c r="J114" s="216">
        <f t="shared" ca="1" si="29"/>
        <v>62856.639291942876</v>
      </c>
      <c r="K114" s="216">
        <f t="shared" ca="1" si="36"/>
        <v>6034237.3720265254</v>
      </c>
      <c r="M114" s="217">
        <f t="shared" si="37"/>
        <v>68.916666666666501</v>
      </c>
      <c r="N114" s="217">
        <f t="shared" ca="1" si="51"/>
        <v>0</v>
      </c>
      <c r="O114" s="216">
        <f t="shared" ca="1" si="38"/>
        <v>76363.675936010943</v>
      </c>
      <c r="P114" s="216">
        <f t="shared" ca="1" si="39"/>
        <v>7156619.5409210753</v>
      </c>
      <c r="R114" s="217">
        <f t="shared" si="40"/>
        <v>68.916666666666501</v>
      </c>
      <c r="S114" s="240">
        <f t="shared" ca="1" si="30"/>
        <v>62856.639291942876</v>
      </c>
      <c r="T114" s="240">
        <f t="shared" ca="1" si="41"/>
        <v>6034237.3720265254</v>
      </c>
      <c r="V114" s="217">
        <f t="shared" si="42"/>
        <v>68.916666666666501</v>
      </c>
      <c r="W114" s="217">
        <f t="shared" ca="1" si="43"/>
        <v>0</v>
      </c>
      <c r="X114" s="240">
        <f t="shared" ca="1" si="44"/>
        <v>76363.675936010943</v>
      </c>
      <c r="Y114" s="240">
        <f t="shared" ca="1" si="45"/>
        <v>7129610.6439857101</v>
      </c>
      <c r="AA114" s="217">
        <f t="shared" si="46"/>
        <v>68.916666666666501</v>
      </c>
      <c r="AB114" s="216">
        <f t="shared" ca="1" si="31"/>
        <v>62856.639291942876</v>
      </c>
      <c r="AC114" s="240">
        <f t="shared" ca="1" si="47"/>
        <v>6034237.3720265254</v>
      </c>
      <c r="AD114" s="216"/>
      <c r="AF114" s="210">
        <f>ROW()</f>
        <v>114</v>
      </c>
      <c r="AG114" s="217">
        <f t="shared" si="48"/>
        <v>68.916666666666501</v>
      </c>
      <c r="AH114" s="217">
        <f t="shared" ca="1" si="52"/>
        <v>0</v>
      </c>
      <c r="AI114" s="217">
        <f ca="1">IF(AH113&lt;&gt;0,FINANCIAMIENTO!$F$5,0)</f>
        <v>0</v>
      </c>
      <c r="AJ114" s="240" t="b">
        <f t="shared" ca="1" si="50"/>
        <v>0</v>
      </c>
      <c r="AK114" s="240">
        <f t="shared" ca="1" si="32"/>
        <v>0</v>
      </c>
      <c r="AL114" s="240">
        <f t="shared" ca="1" si="33"/>
        <v>76363.675936010943</v>
      </c>
      <c r="AM114" s="240">
        <f t="shared" ca="1" si="34"/>
        <v>76363.675936010943</v>
      </c>
      <c r="AN114" s="240">
        <f t="shared" ca="1" si="49"/>
        <v>6639978.1030439623</v>
      </c>
    </row>
    <row r="115" spans="9:40">
      <c r="I115" s="217">
        <f t="shared" si="35"/>
        <v>68.999999999999829</v>
      </c>
      <c r="J115" s="216">
        <f t="shared" ca="1" si="29"/>
        <v>62856.639291942876</v>
      </c>
      <c r="K115" s="216">
        <f t="shared" ca="1" si="36"/>
        <v>6097094.0113184685</v>
      </c>
      <c r="M115" s="217">
        <f t="shared" si="37"/>
        <v>68.999999999999829</v>
      </c>
      <c r="N115" s="217">
        <f t="shared" ca="1" si="51"/>
        <v>0</v>
      </c>
      <c r="O115" s="216">
        <f t="shared" ca="1" si="38"/>
        <v>76363.675936010943</v>
      </c>
      <c r="P115" s="216">
        <f t="shared" ca="1" si="39"/>
        <v>7232983.2168570859</v>
      </c>
      <c r="R115" s="217">
        <f t="shared" si="40"/>
        <v>68.999999999999829</v>
      </c>
      <c r="S115" s="240">
        <f t="shared" ca="1" si="30"/>
        <v>62856.639291942876</v>
      </c>
      <c r="T115" s="240">
        <f t="shared" ca="1" si="41"/>
        <v>6097094.0113184685</v>
      </c>
      <c r="V115" s="217">
        <f t="shared" si="42"/>
        <v>68.999999999999829</v>
      </c>
      <c r="W115" s="217">
        <f t="shared" ca="1" si="43"/>
        <v>0</v>
      </c>
      <c r="X115" s="240">
        <f t="shared" ca="1" si="44"/>
        <v>76363.675936010943</v>
      </c>
      <c r="Y115" s="240">
        <f t="shared" ca="1" si="45"/>
        <v>7205974.3199217208</v>
      </c>
      <c r="AA115" s="217">
        <f t="shared" si="46"/>
        <v>68.999999999999829</v>
      </c>
      <c r="AB115" s="216">
        <f t="shared" ca="1" si="31"/>
        <v>62856.639291942876</v>
      </c>
      <c r="AC115" s="240">
        <f t="shared" ca="1" si="47"/>
        <v>6097094.0113184685</v>
      </c>
      <c r="AD115" s="216"/>
      <c r="AF115" s="210">
        <f>ROW()</f>
        <v>115</v>
      </c>
      <c r="AG115" s="217">
        <f t="shared" si="48"/>
        <v>68.999999999999829</v>
      </c>
      <c r="AH115" s="217">
        <f t="shared" ca="1" si="52"/>
        <v>0</v>
      </c>
      <c r="AI115" s="217">
        <f ca="1">IF(AH114&lt;&gt;0,FINANCIAMIENTO!$F$5,0)</f>
        <v>0</v>
      </c>
      <c r="AJ115" s="240" t="b">
        <f t="shared" ca="1" si="50"/>
        <v>0</v>
      </c>
      <c r="AK115" s="240">
        <f t="shared" ca="1" si="32"/>
        <v>0</v>
      </c>
      <c r="AL115" s="240">
        <f t="shared" ca="1" si="33"/>
        <v>76363.675936010943</v>
      </c>
      <c r="AM115" s="240">
        <f t="shared" ca="1" si="34"/>
        <v>76363.675936010943</v>
      </c>
      <c r="AN115" s="240">
        <f t="shared" ca="1" si="49"/>
        <v>6716341.7789799729</v>
      </c>
    </row>
    <row r="116" spans="9:40">
      <c r="I116" s="217">
        <f t="shared" si="35"/>
        <v>69.083333333333158</v>
      </c>
      <c r="J116" s="216">
        <f t="shared" ca="1" si="29"/>
        <v>62856.639291942876</v>
      </c>
      <c r="K116" s="216">
        <f t="shared" ca="1" si="36"/>
        <v>6159950.6506104115</v>
      </c>
      <c r="M116" s="217">
        <f t="shared" si="37"/>
        <v>69.083333333333158</v>
      </c>
      <c r="N116" s="217">
        <f t="shared" ca="1" si="51"/>
        <v>0</v>
      </c>
      <c r="O116" s="216">
        <f t="shared" ca="1" si="38"/>
        <v>76363.675936010943</v>
      </c>
      <c r="P116" s="216">
        <f t="shared" ca="1" si="39"/>
        <v>7309346.8927930966</v>
      </c>
      <c r="R116" s="217">
        <f t="shared" si="40"/>
        <v>69.083333333333158</v>
      </c>
      <c r="S116" s="240">
        <f t="shared" ca="1" si="30"/>
        <v>62856.639291942876</v>
      </c>
      <c r="T116" s="240">
        <f t="shared" ca="1" si="41"/>
        <v>6159950.6506104115</v>
      </c>
      <c r="V116" s="217">
        <f t="shared" si="42"/>
        <v>69.083333333333158</v>
      </c>
      <c r="W116" s="217">
        <f t="shared" ca="1" si="43"/>
        <v>0</v>
      </c>
      <c r="X116" s="240">
        <f t="shared" ca="1" si="44"/>
        <v>76363.675936010943</v>
      </c>
      <c r="Y116" s="240">
        <f t="shared" ca="1" si="45"/>
        <v>7282337.9958577314</v>
      </c>
      <c r="AA116" s="217">
        <f t="shared" si="46"/>
        <v>69.083333333333158</v>
      </c>
      <c r="AB116" s="216">
        <f t="shared" ca="1" si="31"/>
        <v>62856.639291942876</v>
      </c>
      <c r="AC116" s="240">
        <f t="shared" ca="1" si="47"/>
        <v>6159950.6506104115</v>
      </c>
      <c r="AD116" s="216"/>
      <c r="AF116" s="210">
        <f>ROW()</f>
        <v>116</v>
      </c>
      <c r="AG116" s="217">
        <f t="shared" si="48"/>
        <v>69.083333333333158</v>
      </c>
      <c r="AH116" s="217">
        <f t="shared" ca="1" si="52"/>
        <v>0</v>
      </c>
      <c r="AI116" s="217">
        <f ca="1">IF(AH115&lt;&gt;0,FINANCIAMIENTO!$F$5,0)</f>
        <v>0</v>
      </c>
      <c r="AJ116" s="240" t="b">
        <f t="shared" ca="1" si="50"/>
        <v>0</v>
      </c>
      <c r="AK116" s="240">
        <f t="shared" ca="1" si="32"/>
        <v>0</v>
      </c>
      <c r="AL116" s="240">
        <f t="shared" ca="1" si="33"/>
        <v>76363.675936010943</v>
      </c>
      <c r="AM116" s="240">
        <f t="shared" ca="1" si="34"/>
        <v>76363.675936010943</v>
      </c>
      <c r="AN116" s="240">
        <f t="shared" ca="1" si="49"/>
        <v>6792705.4549159836</v>
      </c>
    </row>
    <row r="117" spans="9:40">
      <c r="I117" s="217">
        <f t="shared" si="35"/>
        <v>69.166666666666487</v>
      </c>
      <c r="J117" s="216">
        <f t="shared" ca="1" si="29"/>
        <v>62856.639291942876</v>
      </c>
      <c r="K117" s="216">
        <f t="shared" ca="1" si="36"/>
        <v>6222807.2899023546</v>
      </c>
      <c r="M117" s="217">
        <f t="shared" si="37"/>
        <v>69.166666666666487</v>
      </c>
      <c r="N117" s="217">
        <f t="shared" ca="1" si="51"/>
        <v>0</v>
      </c>
      <c r="O117" s="216">
        <f t="shared" ca="1" si="38"/>
        <v>76363.675936010943</v>
      </c>
      <c r="P117" s="216">
        <f t="shared" ca="1" si="39"/>
        <v>7385710.5687291073</v>
      </c>
      <c r="R117" s="217">
        <f t="shared" si="40"/>
        <v>69.166666666666487</v>
      </c>
      <c r="S117" s="240">
        <f t="shared" ca="1" si="30"/>
        <v>62856.639291942876</v>
      </c>
      <c r="T117" s="240">
        <f t="shared" ca="1" si="41"/>
        <v>6222807.2899023546</v>
      </c>
      <c r="V117" s="217">
        <f t="shared" si="42"/>
        <v>69.166666666666487</v>
      </c>
      <c r="W117" s="217">
        <f t="shared" ca="1" si="43"/>
        <v>0</v>
      </c>
      <c r="X117" s="240">
        <f t="shared" ca="1" si="44"/>
        <v>76363.675936010943</v>
      </c>
      <c r="Y117" s="240">
        <f t="shared" ca="1" si="45"/>
        <v>7358701.6717937421</v>
      </c>
      <c r="AA117" s="217">
        <f t="shared" si="46"/>
        <v>69.166666666666487</v>
      </c>
      <c r="AB117" s="216">
        <f t="shared" ca="1" si="31"/>
        <v>62856.639291942876</v>
      </c>
      <c r="AC117" s="240">
        <f t="shared" ca="1" si="47"/>
        <v>6222807.2899023546</v>
      </c>
      <c r="AD117" s="216"/>
      <c r="AF117" s="210">
        <f>ROW()</f>
        <v>117</v>
      </c>
      <c r="AG117" s="217">
        <f t="shared" si="48"/>
        <v>69.166666666666487</v>
      </c>
      <c r="AH117" s="217">
        <f t="shared" ca="1" si="52"/>
        <v>0</v>
      </c>
      <c r="AI117" s="217">
        <f ca="1">IF(AH116&lt;&gt;0,FINANCIAMIENTO!$F$5,0)</f>
        <v>0</v>
      </c>
      <c r="AJ117" s="240" t="b">
        <f t="shared" ca="1" si="50"/>
        <v>0</v>
      </c>
      <c r="AK117" s="240">
        <f t="shared" ca="1" si="32"/>
        <v>0</v>
      </c>
      <c r="AL117" s="240">
        <f t="shared" ca="1" si="33"/>
        <v>76363.675936010943</v>
      </c>
      <c r="AM117" s="240">
        <f t="shared" ca="1" si="34"/>
        <v>76363.675936010943</v>
      </c>
      <c r="AN117" s="240">
        <f t="shared" ca="1" si="49"/>
        <v>6869069.1308519943</v>
      </c>
    </row>
    <row r="118" spans="9:40">
      <c r="I118" s="217">
        <f t="shared" si="35"/>
        <v>69.249999999999815</v>
      </c>
      <c r="J118" s="216">
        <f t="shared" ca="1" si="29"/>
        <v>62856.639291942876</v>
      </c>
      <c r="K118" s="216">
        <f t="shared" ca="1" si="36"/>
        <v>6285663.9291942976</v>
      </c>
      <c r="M118" s="217">
        <f t="shared" si="37"/>
        <v>69.249999999999815</v>
      </c>
      <c r="N118" s="217">
        <f t="shared" ca="1" si="51"/>
        <v>0</v>
      </c>
      <c r="O118" s="216">
        <f t="shared" ca="1" si="38"/>
        <v>76363.675936010943</v>
      </c>
      <c r="P118" s="216">
        <f t="shared" ca="1" si="39"/>
        <v>7462074.2446651179</v>
      </c>
      <c r="R118" s="217">
        <f t="shared" si="40"/>
        <v>69.249999999999815</v>
      </c>
      <c r="S118" s="240">
        <f t="shared" ca="1" si="30"/>
        <v>62856.639291942876</v>
      </c>
      <c r="T118" s="240">
        <f t="shared" ca="1" si="41"/>
        <v>6285663.9291942976</v>
      </c>
      <c r="V118" s="217">
        <f t="shared" si="42"/>
        <v>69.249999999999815</v>
      </c>
      <c r="W118" s="217">
        <f t="shared" ca="1" si="43"/>
        <v>0</v>
      </c>
      <c r="X118" s="240">
        <f t="shared" ca="1" si="44"/>
        <v>76363.675936010943</v>
      </c>
      <c r="Y118" s="240">
        <f t="shared" ca="1" si="45"/>
        <v>7435065.3477297528</v>
      </c>
      <c r="AA118" s="217">
        <f t="shared" si="46"/>
        <v>69.249999999999815</v>
      </c>
      <c r="AB118" s="216">
        <f t="shared" ca="1" si="31"/>
        <v>62856.639291942876</v>
      </c>
      <c r="AC118" s="240">
        <f t="shared" ca="1" si="47"/>
        <v>6285663.9291942976</v>
      </c>
      <c r="AD118" s="216"/>
      <c r="AF118" s="210">
        <f>ROW()</f>
        <v>118</v>
      </c>
      <c r="AG118" s="217">
        <f t="shared" si="48"/>
        <v>69.249999999999815</v>
      </c>
      <c r="AH118" s="217">
        <f t="shared" ca="1" si="52"/>
        <v>0</v>
      </c>
      <c r="AI118" s="217">
        <f ca="1">IF(AH117&lt;&gt;0,FINANCIAMIENTO!$F$5,0)</f>
        <v>0</v>
      </c>
      <c r="AJ118" s="240" t="b">
        <f t="shared" ca="1" si="50"/>
        <v>0</v>
      </c>
      <c r="AK118" s="240">
        <f t="shared" ca="1" si="32"/>
        <v>0</v>
      </c>
      <c r="AL118" s="240">
        <f t="shared" ca="1" si="33"/>
        <v>76363.675936010943</v>
      </c>
      <c r="AM118" s="240">
        <f t="shared" ca="1" si="34"/>
        <v>76363.675936010943</v>
      </c>
      <c r="AN118" s="240">
        <f t="shared" ca="1" si="49"/>
        <v>6945432.8067880049</v>
      </c>
    </row>
    <row r="119" spans="9:40">
      <c r="I119" s="217">
        <f t="shared" si="35"/>
        <v>69.333333333333144</v>
      </c>
      <c r="J119" s="216">
        <f t="shared" ca="1" si="29"/>
        <v>62856.639291942876</v>
      </c>
      <c r="K119" s="216">
        <f t="shared" ca="1" si="36"/>
        <v>6348520.5684862407</v>
      </c>
      <c r="M119" s="217">
        <f t="shared" si="37"/>
        <v>69.333333333333144</v>
      </c>
      <c r="N119" s="217">
        <f t="shared" ca="1" si="51"/>
        <v>0</v>
      </c>
      <c r="O119" s="216">
        <f t="shared" ca="1" si="38"/>
        <v>76363.675936010943</v>
      </c>
      <c r="P119" s="216">
        <f t="shared" ca="1" si="39"/>
        <v>7538437.9206011286</v>
      </c>
      <c r="R119" s="217">
        <f t="shared" si="40"/>
        <v>69.333333333333144</v>
      </c>
      <c r="S119" s="240">
        <f t="shared" ca="1" si="30"/>
        <v>62856.639291942876</v>
      </c>
      <c r="T119" s="240">
        <f t="shared" ca="1" si="41"/>
        <v>6348520.5684862407</v>
      </c>
      <c r="V119" s="217">
        <f t="shared" si="42"/>
        <v>69.333333333333144</v>
      </c>
      <c r="W119" s="217">
        <f t="shared" ca="1" si="43"/>
        <v>0</v>
      </c>
      <c r="X119" s="240">
        <f t="shared" ca="1" si="44"/>
        <v>76363.675936010943</v>
      </c>
      <c r="Y119" s="240">
        <f t="shared" ca="1" si="45"/>
        <v>7511429.0236657634</v>
      </c>
      <c r="AA119" s="217">
        <f t="shared" si="46"/>
        <v>69.333333333333144</v>
      </c>
      <c r="AB119" s="216">
        <f t="shared" ca="1" si="31"/>
        <v>62856.639291942876</v>
      </c>
      <c r="AC119" s="240">
        <f t="shared" ca="1" si="47"/>
        <v>6348520.5684862407</v>
      </c>
      <c r="AD119" s="216"/>
      <c r="AF119" s="210">
        <f>ROW()</f>
        <v>119</v>
      </c>
      <c r="AG119" s="217">
        <f t="shared" si="48"/>
        <v>69.333333333333144</v>
      </c>
      <c r="AH119" s="217">
        <f t="shared" ca="1" si="52"/>
        <v>0</v>
      </c>
      <c r="AI119" s="217">
        <f ca="1">IF(AH118&lt;&gt;0,FINANCIAMIENTO!$F$5,0)</f>
        <v>0</v>
      </c>
      <c r="AJ119" s="240" t="b">
        <f t="shared" ca="1" si="50"/>
        <v>0</v>
      </c>
      <c r="AK119" s="240">
        <f t="shared" ca="1" si="32"/>
        <v>0</v>
      </c>
      <c r="AL119" s="240">
        <f t="shared" ca="1" si="33"/>
        <v>76363.675936010943</v>
      </c>
      <c r="AM119" s="240">
        <f t="shared" ca="1" si="34"/>
        <v>76363.675936010943</v>
      </c>
      <c r="AN119" s="240">
        <f t="shared" ca="1" si="49"/>
        <v>7021796.4827240156</v>
      </c>
    </row>
    <row r="120" spans="9:40">
      <c r="I120" s="217">
        <f t="shared" si="35"/>
        <v>69.416666666666472</v>
      </c>
      <c r="J120" s="216">
        <f t="shared" ca="1" si="29"/>
        <v>62856.639291942876</v>
      </c>
      <c r="K120" s="216">
        <f t="shared" ca="1" si="36"/>
        <v>6411377.2077781837</v>
      </c>
      <c r="M120" s="217">
        <f t="shared" si="37"/>
        <v>69.416666666666472</v>
      </c>
      <c r="N120" s="217">
        <f t="shared" ca="1" si="51"/>
        <v>0</v>
      </c>
      <c r="O120" s="216">
        <f t="shared" ca="1" si="38"/>
        <v>76363.675936010943</v>
      </c>
      <c r="P120" s="216">
        <f t="shared" ca="1" si="39"/>
        <v>7614801.5965371393</v>
      </c>
      <c r="R120" s="217">
        <f t="shared" si="40"/>
        <v>69.416666666666472</v>
      </c>
      <c r="S120" s="240">
        <f t="shared" ca="1" si="30"/>
        <v>62856.639291942876</v>
      </c>
      <c r="T120" s="240">
        <f t="shared" ca="1" si="41"/>
        <v>6411377.2077781837</v>
      </c>
      <c r="V120" s="217">
        <f t="shared" si="42"/>
        <v>69.416666666666472</v>
      </c>
      <c r="W120" s="217">
        <f t="shared" ca="1" si="43"/>
        <v>0</v>
      </c>
      <c r="X120" s="240">
        <f t="shared" ca="1" si="44"/>
        <v>76363.675936010943</v>
      </c>
      <c r="Y120" s="240">
        <f t="shared" ca="1" si="45"/>
        <v>7587792.6996017741</v>
      </c>
      <c r="AA120" s="217">
        <f t="shared" si="46"/>
        <v>69.416666666666472</v>
      </c>
      <c r="AB120" s="216">
        <f t="shared" ca="1" si="31"/>
        <v>62856.639291942876</v>
      </c>
      <c r="AC120" s="240">
        <f t="shared" ca="1" si="47"/>
        <v>6411377.2077781837</v>
      </c>
      <c r="AD120" s="216"/>
      <c r="AF120" s="210">
        <f>ROW()</f>
        <v>120</v>
      </c>
      <c r="AG120" s="217">
        <f t="shared" si="48"/>
        <v>69.416666666666472</v>
      </c>
      <c r="AH120" s="217">
        <f t="shared" ca="1" si="52"/>
        <v>0</v>
      </c>
      <c r="AI120" s="217">
        <f ca="1">IF(AH119&lt;&gt;0,FINANCIAMIENTO!$F$5,0)</f>
        <v>0</v>
      </c>
      <c r="AJ120" s="240" t="b">
        <f t="shared" ca="1" si="50"/>
        <v>0</v>
      </c>
      <c r="AK120" s="240">
        <f t="shared" ca="1" si="32"/>
        <v>0</v>
      </c>
      <c r="AL120" s="240">
        <f t="shared" ca="1" si="33"/>
        <v>76363.675936010943</v>
      </c>
      <c r="AM120" s="240">
        <f t="shared" ca="1" si="34"/>
        <v>76363.675936010943</v>
      </c>
      <c r="AN120" s="240">
        <f t="shared" ca="1" si="49"/>
        <v>7098160.1586600263</v>
      </c>
    </row>
    <row r="121" spans="9:40">
      <c r="I121" s="217">
        <f t="shared" si="35"/>
        <v>69.499999999999801</v>
      </c>
      <c r="J121" s="216">
        <f t="shared" ca="1" si="29"/>
        <v>62856.639291942876</v>
      </c>
      <c r="K121" s="216">
        <f t="shared" ca="1" si="36"/>
        <v>6474233.8470701268</v>
      </c>
      <c r="M121" s="217">
        <f t="shared" si="37"/>
        <v>69.499999999999801</v>
      </c>
      <c r="N121" s="217">
        <f t="shared" ca="1" si="51"/>
        <v>0</v>
      </c>
      <c r="O121" s="216">
        <f t="shared" ca="1" si="38"/>
        <v>76363.675936010943</v>
      </c>
      <c r="P121" s="216">
        <f t="shared" ca="1" si="39"/>
        <v>7691165.2724731499</v>
      </c>
      <c r="R121" s="217">
        <f t="shared" si="40"/>
        <v>69.499999999999801</v>
      </c>
      <c r="S121" s="240">
        <f t="shared" ca="1" si="30"/>
        <v>62856.639291942876</v>
      </c>
      <c r="T121" s="240">
        <f t="shared" ca="1" si="41"/>
        <v>6474233.8470701268</v>
      </c>
      <c r="V121" s="217">
        <f t="shared" si="42"/>
        <v>69.499999999999801</v>
      </c>
      <c r="W121" s="217">
        <f t="shared" ca="1" si="43"/>
        <v>0</v>
      </c>
      <c r="X121" s="240">
        <f t="shared" ca="1" si="44"/>
        <v>76363.675936010943</v>
      </c>
      <c r="Y121" s="240">
        <f t="shared" ca="1" si="45"/>
        <v>7664156.3755377848</v>
      </c>
      <c r="AA121" s="217">
        <f t="shared" si="46"/>
        <v>69.499999999999801</v>
      </c>
      <c r="AB121" s="216">
        <f t="shared" ca="1" si="31"/>
        <v>62856.639291942876</v>
      </c>
      <c r="AC121" s="240">
        <f t="shared" ca="1" si="47"/>
        <v>6474233.8470701268</v>
      </c>
      <c r="AD121" s="216"/>
      <c r="AF121" s="210">
        <f>ROW()</f>
        <v>121</v>
      </c>
      <c r="AG121" s="217">
        <f t="shared" si="48"/>
        <v>69.499999999999801</v>
      </c>
      <c r="AH121" s="217">
        <f t="shared" ca="1" si="52"/>
        <v>0</v>
      </c>
      <c r="AI121" s="217">
        <f ca="1">IF(AH120&lt;&gt;0,FINANCIAMIENTO!$F$5,0)</f>
        <v>0</v>
      </c>
      <c r="AJ121" s="240" t="b">
        <f t="shared" ca="1" si="50"/>
        <v>0</v>
      </c>
      <c r="AK121" s="240">
        <f t="shared" ca="1" si="32"/>
        <v>0</v>
      </c>
      <c r="AL121" s="240">
        <f t="shared" ca="1" si="33"/>
        <v>76363.675936010943</v>
      </c>
      <c r="AM121" s="240">
        <f t="shared" ca="1" si="34"/>
        <v>76363.675936010943</v>
      </c>
      <c r="AN121" s="240">
        <f t="shared" ca="1" si="49"/>
        <v>7174523.8345960369</v>
      </c>
    </row>
    <row r="122" spans="9:40">
      <c r="I122" s="217">
        <f t="shared" si="35"/>
        <v>69.58333333333313</v>
      </c>
      <c r="J122" s="216">
        <f t="shared" ca="1" si="29"/>
        <v>62856.639291942876</v>
      </c>
      <c r="K122" s="216">
        <f t="shared" ca="1" si="36"/>
        <v>6537090.4863620698</v>
      </c>
      <c r="M122" s="217">
        <f t="shared" si="37"/>
        <v>69.58333333333313</v>
      </c>
      <c r="N122" s="217">
        <f t="shared" ca="1" si="51"/>
        <v>0</v>
      </c>
      <c r="O122" s="216">
        <f t="shared" ca="1" si="38"/>
        <v>76363.675936010943</v>
      </c>
      <c r="P122" s="216">
        <f t="shared" ca="1" si="39"/>
        <v>7767528.9484091606</v>
      </c>
      <c r="R122" s="217">
        <f t="shared" si="40"/>
        <v>69.58333333333313</v>
      </c>
      <c r="S122" s="240">
        <f t="shared" ca="1" si="30"/>
        <v>62856.639291942876</v>
      </c>
      <c r="T122" s="240">
        <f t="shared" ca="1" si="41"/>
        <v>6537090.4863620698</v>
      </c>
      <c r="V122" s="217">
        <f t="shared" si="42"/>
        <v>69.58333333333313</v>
      </c>
      <c r="W122" s="217">
        <f t="shared" ca="1" si="43"/>
        <v>0</v>
      </c>
      <c r="X122" s="240">
        <f t="shared" ca="1" si="44"/>
        <v>76363.675936010943</v>
      </c>
      <c r="Y122" s="240">
        <f t="shared" ca="1" si="45"/>
        <v>7740520.0514737954</v>
      </c>
      <c r="AA122" s="217">
        <f t="shared" si="46"/>
        <v>69.58333333333313</v>
      </c>
      <c r="AB122" s="216">
        <f t="shared" ca="1" si="31"/>
        <v>62856.639291942876</v>
      </c>
      <c r="AC122" s="240">
        <f t="shared" ca="1" si="47"/>
        <v>6537090.4863620698</v>
      </c>
      <c r="AD122" s="216"/>
      <c r="AF122" s="210">
        <f>ROW()</f>
        <v>122</v>
      </c>
      <c r="AG122" s="217">
        <f t="shared" si="48"/>
        <v>69.58333333333313</v>
      </c>
      <c r="AH122" s="217">
        <f t="shared" ca="1" si="52"/>
        <v>0</v>
      </c>
      <c r="AI122" s="217">
        <f ca="1">IF(AH121&lt;&gt;0,FINANCIAMIENTO!$F$5,0)</f>
        <v>0</v>
      </c>
      <c r="AJ122" s="240" t="b">
        <f t="shared" ca="1" si="50"/>
        <v>0</v>
      </c>
      <c r="AK122" s="240">
        <f t="shared" ca="1" si="32"/>
        <v>0</v>
      </c>
      <c r="AL122" s="240">
        <f t="shared" ca="1" si="33"/>
        <v>76363.675936010943</v>
      </c>
      <c r="AM122" s="240">
        <f t="shared" ca="1" si="34"/>
        <v>76363.675936010943</v>
      </c>
      <c r="AN122" s="240">
        <f t="shared" ca="1" si="49"/>
        <v>7250887.5105320476</v>
      </c>
    </row>
    <row r="123" spans="9:40">
      <c r="I123" s="217">
        <f t="shared" si="35"/>
        <v>69.666666666666458</v>
      </c>
      <c r="J123" s="216">
        <f t="shared" ca="1" si="29"/>
        <v>62856.639291942876</v>
      </c>
      <c r="K123" s="216">
        <f t="shared" ca="1" si="36"/>
        <v>6599947.1256540129</v>
      </c>
      <c r="M123" s="217">
        <f t="shared" si="37"/>
        <v>69.666666666666458</v>
      </c>
      <c r="N123" s="217">
        <f t="shared" ca="1" si="51"/>
        <v>0</v>
      </c>
      <c r="O123" s="216">
        <f t="shared" ca="1" si="38"/>
        <v>76363.675936010943</v>
      </c>
      <c r="P123" s="216">
        <f t="shared" ca="1" si="39"/>
        <v>7843892.6243451713</v>
      </c>
      <c r="R123" s="217">
        <f t="shared" si="40"/>
        <v>69.666666666666458</v>
      </c>
      <c r="S123" s="240">
        <f t="shared" ca="1" si="30"/>
        <v>62856.639291942876</v>
      </c>
      <c r="T123" s="240">
        <f t="shared" ca="1" si="41"/>
        <v>6599947.1256540129</v>
      </c>
      <c r="V123" s="217">
        <f t="shared" si="42"/>
        <v>69.666666666666458</v>
      </c>
      <c r="W123" s="217">
        <f t="shared" ca="1" si="43"/>
        <v>0</v>
      </c>
      <c r="X123" s="240">
        <f t="shared" ca="1" si="44"/>
        <v>76363.675936010943</v>
      </c>
      <c r="Y123" s="240">
        <f t="shared" ca="1" si="45"/>
        <v>7816883.7274098061</v>
      </c>
      <c r="AA123" s="217">
        <f t="shared" si="46"/>
        <v>69.666666666666458</v>
      </c>
      <c r="AB123" s="216">
        <f t="shared" ca="1" si="31"/>
        <v>62856.639291942876</v>
      </c>
      <c r="AC123" s="240">
        <f t="shared" ca="1" si="47"/>
        <v>6599947.1256540129</v>
      </c>
      <c r="AD123" s="216"/>
      <c r="AF123" s="210">
        <f>ROW()</f>
        <v>123</v>
      </c>
      <c r="AG123" s="217">
        <f t="shared" si="48"/>
        <v>69.666666666666458</v>
      </c>
      <c r="AH123" s="217">
        <f t="shared" ca="1" si="52"/>
        <v>0</v>
      </c>
      <c r="AI123" s="217">
        <f ca="1">IF(AH122&lt;&gt;0,FINANCIAMIENTO!$F$5,0)</f>
        <v>0</v>
      </c>
      <c r="AJ123" s="240" t="b">
        <f t="shared" ca="1" si="50"/>
        <v>0</v>
      </c>
      <c r="AK123" s="240">
        <f t="shared" ca="1" si="32"/>
        <v>0</v>
      </c>
      <c r="AL123" s="240">
        <f t="shared" ca="1" si="33"/>
        <v>76363.675936010943</v>
      </c>
      <c r="AM123" s="240">
        <f t="shared" ca="1" si="34"/>
        <v>76363.675936010943</v>
      </c>
      <c r="AN123" s="240">
        <f t="shared" ca="1" si="49"/>
        <v>7327251.1864680583</v>
      </c>
    </row>
    <row r="124" spans="9:40">
      <c r="I124" s="217">
        <f t="shared" si="35"/>
        <v>69.749999999999787</v>
      </c>
      <c r="J124" s="216">
        <f t="shared" ca="1" si="29"/>
        <v>62856.639291942876</v>
      </c>
      <c r="K124" s="216">
        <f t="shared" ca="1" si="36"/>
        <v>6662803.7649459559</v>
      </c>
      <c r="M124" s="217">
        <f t="shared" si="37"/>
        <v>69.749999999999787</v>
      </c>
      <c r="N124" s="217">
        <f t="shared" ca="1" si="51"/>
        <v>0</v>
      </c>
      <c r="O124" s="216">
        <f t="shared" ca="1" si="38"/>
        <v>76363.675936010943</v>
      </c>
      <c r="P124" s="216">
        <f t="shared" ca="1" si="39"/>
        <v>7920256.3002811819</v>
      </c>
      <c r="R124" s="217">
        <f t="shared" si="40"/>
        <v>69.749999999999787</v>
      </c>
      <c r="S124" s="240">
        <f t="shared" ca="1" si="30"/>
        <v>62856.639291942876</v>
      </c>
      <c r="T124" s="240">
        <f t="shared" ca="1" si="41"/>
        <v>6662803.7649459559</v>
      </c>
      <c r="V124" s="217">
        <f t="shared" si="42"/>
        <v>69.749999999999787</v>
      </c>
      <c r="W124" s="217">
        <f t="shared" ca="1" si="43"/>
        <v>0</v>
      </c>
      <c r="X124" s="240">
        <f t="shared" ca="1" si="44"/>
        <v>76363.675936010943</v>
      </c>
      <c r="Y124" s="240">
        <f t="shared" ca="1" si="45"/>
        <v>7893247.4033458168</v>
      </c>
      <c r="AA124" s="217">
        <f t="shared" si="46"/>
        <v>69.749999999999787</v>
      </c>
      <c r="AB124" s="216">
        <f t="shared" ca="1" si="31"/>
        <v>62856.639291942876</v>
      </c>
      <c r="AC124" s="240">
        <f t="shared" ca="1" si="47"/>
        <v>6662803.7649459559</v>
      </c>
      <c r="AD124" s="216"/>
      <c r="AF124" s="210">
        <f>ROW()</f>
        <v>124</v>
      </c>
      <c r="AG124" s="217">
        <f t="shared" si="48"/>
        <v>69.749999999999787</v>
      </c>
      <c r="AH124" s="217">
        <f t="shared" ca="1" si="52"/>
        <v>0</v>
      </c>
      <c r="AI124" s="217">
        <f ca="1">IF(AH123&lt;&gt;0,FINANCIAMIENTO!$F$5,0)</f>
        <v>0</v>
      </c>
      <c r="AJ124" s="240" t="b">
        <f t="shared" ca="1" si="50"/>
        <v>0</v>
      </c>
      <c r="AK124" s="240">
        <f t="shared" ca="1" si="32"/>
        <v>0</v>
      </c>
      <c r="AL124" s="240">
        <f t="shared" ca="1" si="33"/>
        <v>76363.675936010943</v>
      </c>
      <c r="AM124" s="240">
        <f t="shared" ca="1" si="34"/>
        <v>76363.675936010943</v>
      </c>
      <c r="AN124" s="240">
        <f t="shared" ca="1" si="49"/>
        <v>7403614.8624040689</v>
      </c>
    </row>
    <row r="125" spans="9:40">
      <c r="I125" s="217">
        <f t="shared" si="35"/>
        <v>69.833333333333115</v>
      </c>
      <c r="J125" s="216">
        <f t="shared" ca="1" si="29"/>
        <v>62856.639291942876</v>
      </c>
      <c r="K125" s="216">
        <f t="shared" ca="1" si="36"/>
        <v>6725660.404237899</v>
      </c>
      <c r="M125" s="217">
        <f t="shared" si="37"/>
        <v>69.833333333333115</v>
      </c>
      <c r="N125" s="217">
        <f t="shared" ca="1" si="51"/>
        <v>0</v>
      </c>
      <c r="O125" s="216">
        <f t="shared" ca="1" si="38"/>
        <v>76363.675936010943</v>
      </c>
      <c r="P125" s="216">
        <f t="shared" ca="1" si="39"/>
        <v>7996619.9762171926</v>
      </c>
      <c r="R125" s="217">
        <f t="shared" si="40"/>
        <v>69.833333333333115</v>
      </c>
      <c r="S125" s="240">
        <f t="shared" ca="1" si="30"/>
        <v>62856.639291942876</v>
      </c>
      <c r="T125" s="240">
        <f t="shared" ca="1" si="41"/>
        <v>6725660.404237899</v>
      </c>
      <c r="V125" s="217">
        <f t="shared" si="42"/>
        <v>69.833333333333115</v>
      </c>
      <c r="W125" s="217">
        <f t="shared" ca="1" si="43"/>
        <v>0</v>
      </c>
      <c r="X125" s="240">
        <f t="shared" ca="1" si="44"/>
        <v>76363.675936010943</v>
      </c>
      <c r="Y125" s="240">
        <f t="shared" ca="1" si="45"/>
        <v>7969611.0792818274</v>
      </c>
      <c r="AA125" s="217">
        <f t="shared" si="46"/>
        <v>69.833333333333115</v>
      </c>
      <c r="AB125" s="216">
        <f t="shared" ca="1" si="31"/>
        <v>62856.639291942876</v>
      </c>
      <c r="AC125" s="240">
        <f t="shared" ca="1" si="47"/>
        <v>6725660.404237899</v>
      </c>
      <c r="AD125" s="216"/>
      <c r="AF125" s="210">
        <f>ROW()</f>
        <v>125</v>
      </c>
      <c r="AG125" s="217">
        <f t="shared" si="48"/>
        <v>69.833333333333115</v>
      </c>
      <c r="AH125" s="217">
        <f t="shared" ca="1" si="52"/>
        <v>0</v>
      </c>
      <c r="AI125" s="217">
        <f ca="1">IF(AH124&lt;&gt;0,FINANCIAMIENTO!$F$5,0)</f>
        <v>0</v>
      </c>
      <c r="AJ125" s="240" t="b">
        <f t="shared" ca="1" si="50"/>
        <v>0</v>
      </c>
      <c r="AK125" s="240">
        <f t="shared" ca="1" si="32"/>
        <v>0</v>
      </c>
      <c r="AL125" s="240">
        <f t="shared" ca="1" si="33"/>
        <v>76363.675936010943</v>
      </c>
      <c r="AM125" s="240">
        <f t="shared" ca="1" si="34"/>
        <v>76363.675936010943</v>
      </c>
      <c r="AN125" s="240">
        <f t="shared" ca="1" si="49"/>
        <v>7479978.5383400796</v>
      </c>
    </row>
    <row r="126" spans="9:40">
      <c r="I126" s="217">
        <f t="shared" si="35"/>
        <v>69.916666666666444</v>
      </c>
      <c r="J126" s="216">
        <f t="shared" ca="1" si="29"/>
        <v>62856.639291942876</v>
      </c>
      <c r="K126" s="216">
        <f t="shared" ca="1" si="36"/>
        <v>6788517.043529842</v>
      </c>
      <c r="M126" s="217">
        <f t="shared" si="37"/>
        <v>69.916666666666444</v>
      </c>
      <c r="N126" s="217">
        <f t="shared" ca="1" si="51"/>
        <v>0</v>
      </c>
      <c r="O126" s="216">
        <f t="shared" ca="1" si="38"/>
        <v>76363.675936010943</v>
      </c>
      <c r="P126" s="216">
        <f t="shared" ca="1" si="39"/>
        <v>8072983.6521532033</v>
      </c>
      <c r="R126" s="217">
        <f t="shared" si="40"/>
        <v>69.916666666666444</v>
      </c>
      <c r="S126" s="240">
        <f t="shared" ca="1" si="30"/>
        <v>62856.639291942876</v>
      </c>
      <c r="T126" s="240">
        <f t="shared" ca="1" si="41"/>
        <v>6788517.043529842</v>
      </c>
      <c r="V126" s="217">
        <f t="shared" si="42"/>
        <v>69.916666666666444</v>
      </c>
      <c r="W126" s="217">
        <f t="shared" ca="1" si="43"/>
        <v>0</v>
      </c>
      <c r="X126" s="240">
        <f t="shared" ca="1" si="44"/>
        <v>76363.675936010943</v>
      </c>
      <c r="Y126" s="240">
        <f t="shared" ca="1" si="45"/>
        <v>8045974.7552178381</v>
      </c>
      <c r="AA126" s="217">
        <f t="shared" si="46"/>
        <v>69.916666666666444</v>
      </c>
      <c r="AB126" s="216">
        <f t="shared" ca="1" si="31"/>
        <v>62856.639291942876</v>
      </c>
      <c r="AC126" s="240">
        <f t="shared" ca="1" si="47"/>
        <v>6788517.043529842</v>
      </c>
      <c r="AD126" s="216"/>
      <c r="AF126" s="210">
        <f>ROW()</f>
        <v>126</v>
      </c>
      <c r="AG126" s="217">
        <f t="shared" si="48"/>
        <v>69.916666666666444</v>
      </c>
      <c r="AH126" s="217">
        <f t="shared" ca="1" si="52"/>
        <v>0</v>
      </c>
      <c r="AI126" s="217">
        <f ca="1">IF(AH125&lt;&gt;0,FINANCIAMIENTO!$F$5,0)</f>
        <v>0</v>
      </c>
      <c r="AJ126" s="240" t="b">
        <f t="shared" ca="1" si="50"/>
        <v>0</v>
      </c>
      <c r="AK126" s="240">
        <f t="shared" ca="1" si="32"/>
        <v>0</v>
      </c>
      <c r="AL126" s="240">
        <f t="shared" ca="1" si="33"/>
        <v>76363.675936010943</v>
      </c>
      <c r="AM126" s="240">
        <f t="shared" ca="1" si="34"/>
        <v>76363.675936010943</v>
      </c>
      <c r="AN126" s="240">
        <f t="shared" ca="1" si="49"/>
        <v>7556342.2142760903</v>
      </c>
    </row>
    <row r="127" spans="9:40">
      <c r="I127" s="217">
        <f t="shared" si="35"/>
        <v>69.999999999999773</v>
      </c>
      <c r="J127" s="216">
        <f t="shared" ca="1" si="29"/>
        <v>62856.639291942876</v>
      </c>
      <c r="K127" s="216">
        <f t="shared" ca="1" si="36"/>
        <v>6851373.6828217851</v>
      </c>
      <c r="M127" s="217">
        <f t="shared" si="37"/>
        <v>69.999999999999773</v>
      </c>
      <c r="N127" s="217">
        <f t="shared" ca="1" si="51"/>
        <v>0</v>
      </c>
      <c r="O127" s="216">
        <f t="shared" ca="1" si="38"/>
        <v>76363.675936010943</v>
      </c>
      <c r="P127" s="216">
        <f t="shared" ca="1" si="39"/>
        <v>8149347.3280892139</v>
      </c>
      <c r="R127" s="217">
        <f t="shared" si="40"/>
        <v>69.999999999999773</v>
      </c>
      <c r="S127" s="240">
        <f t="shared" ca="1" si="30"/>
        <v>62856.639291942876</v>
      </c>
      <c r="T127" s="240">
        <f t="shared" ca="1" si="41"/>
        <v>6851373.6828217851</v>
      </c>
      <c r="V127" s="217">
        <f t="shared" si="42"/>
        <v>69.999999999999773</v>
      </c>
      <c r="W127" s="217">
        <f t="shared" ca="1" si="43"/>
        <v>0</v>
      </c>
      <c r="X127" s="240">
        <f t="shared" ca="1" si="44"/>
        <v>76363.675936010943</v>
      </c>
      <c r="Y127" s="240">
        <f t="shared" ca="1" si="45"/>
        <v>8122338.4311538488</v>
      </c>
      <c r="AA127" s="217">
        <f t="shared" si="46"/>
        <v>69.999999999999773</v>
      </c>
      <c r="AB127" s="216">
        <f t="shared" ca="1" si="31"/>
        <v>62856.639291942876</v>
      </c>
      <c r="AC127" s="240">
        <f t="shared" ca="1" si="47"/>
        <v>6851373.6828217851</v>
      </c>
      <c r="AD127" s="216"/>
      <c r="AF127" s="210">
        <f>ROW()</f>
        <v>127</v>
      </c>
      <c r="AG127" s="217">
        <f t="shared" si="48"/>
        <v>69.999999999999773</v>
      </c>
      <c r="AH127" s="217">
        <f t="shared" ca="1" si="52"/>
        <v>0</v>
      </c>
      <c r="AI127" s="217">
        <f ca="1">IF(AH126&lt;&gt;0,FINANCIAMIENTO!$F$5,0)</f>
        <v>0</v>
      </c>
      <c r="AJ127" s="240" t="b">
        <f t="shared" ca="1" si="50"/>
        <v>0</v>
      </c>
      <c r="AK127" s="240">
        <f t="shared" ca="1" si="32"/>
        <v>0</v>
      </c>
      <c r="AL127" s="240">
        <f t="shared" ca="1" si="33"/>
        <v>76363.675936010943</v>
      </c>
      <c r="AM127" s="240">
        <f t="shared" ca="1" si="34"/>
        <v>76363.675936010943</v>
      </c>
      <c r="AN127" s="240">
        <f t="shared" ca="1" si="49"/>
        <v>7632705.8902121009</v>
      </c>
    </row>
    <row r="128" spans="9:40">
      <c r="I128" s="217">
        <f t="shared" si="35"/>
        <v>70.083333333333101</v>
      </c>
      <c r="J128" s="216">
        <f t="shared" ca="1" si="29"/>
        <v>62856.639291942876</v>
      </c>
      <c r="K128" s="216">
        <f t="shared" ca="1" si="36"/>
        <v>6914230.3221137282</v>
      </c>
      <c r="M128" s="217">
        <f t="shared" si="37"/>
        <v>70.083333333333101</v>
      </c>
      <c r="N128" s="217">
        <f t="shared" ca="1" si="51"/>
        <v>0</v>
      </c>
      <c r="O128" s="216">
        <f t="shared" ca="1" si="38"/>
        <v>76363.675936010943</v>
      </c>
      <c r="P128" s="216">
        <f t="shared" ca="1" si="39"/>
        <v>8225711.0040252246</v>
      </c>
      <c r="R128" s="217">
        <f t="shared" si="40"/>
        <v>70.083333333333101</v>
      </c>
      <c r="S128" s="240">
        <f t="shared" ca="1" si="30"/>
        <v>62856.639291942876</v>
      </c>
      <c r="T128" s="240">
        <f t="shared" ca="1" si="41"/>
        <v>6914230.3221137282</v>
      </c>
      <c r="V128" s="217">
        <f t="shared" si="42"/>
        <v>70.083333333333101</v>
      </c>
      <c r="W128" s="217">
        <f t="shared" ca="1" si="43"/>
        <v>0</v>
      </c>
      <c r="X128" s="240">
        <f t="shared" ca="1" si="44"/>
        <v>76363.675936010943</v>
      </c>
      <c r="Y128" s="240">
        <f t="shared" ca="1" si="45"/>
        <v>8198702.1070898594</v>
      </c>
      <c r="AA128" s="217">
        <f t="shared" si="46"/>
        <v>70.083333333333101</v>
      </c>
      <c r="AB128" s="216">
        <f t="shared" ca="1" si="31"/>
        <v>62856.639291942876</v>
      </c>
      <c r="AC128" s="240">
        <f t="shared" ca="1" si="47"/>
        <v>6914230.3221137282</v>
      </c>
      <c r="AD128" s="216"/>
      <c r="AF128" s="210">
        <f>ROW()</f>
        <v>128</v>
      </c>
      <c r="AG128" s="217">
        <f t="shared" si="48"/>
        <v>70.083333333333101</v>
      </c>
      <c r="AH128" s="217">
        <f t="shared" ca="1" si="52"/>
        <v>0</v>
      </c>
      <c r="AI128" s="217">
        <f ca="1">IF(AH127&lt;&gt;0,FINANCIAMIENTO!$F$5,0)</f>
        <v>0</v>
      </c>
      <c r="AJ128" s="240" t="b">
        <f t="shared" ca="1" si="50"/>
        <v>0</v>
      </c>
      <c r="AK128" s="240">
        <f t="shared" ca="1" si="32"/>
        <v>0</v>
      </c>
      <c r="AL128" s="240">
        <f t="shared" ca="1" si="33"/>
        <v>76363.675936010943</v>
      </c>
      <c r="AM128" s="240">
        <f t="shared" ca="1" si="34"/>
        <v>76363.675936010943</v>
      </c>
      <c r="AN128" s="240">
        <f t="shared" ca="1" si="49"/>
        <v>7709069.5661481116</v>
      </c>
    </row>
    <row r="129" spans="9:40">
      <c r="I129" s="217">
        <f t="shared" si="35"/>
        <v>70.16666666666643</v>
      </c>
      <c r="J129" s="216">
        <f t="shared" ca="1" si="29"/>
        <v>62856.639291942876</v>
      </c>
      <c r="K129" s="216">
        <f t="shared" ca="1" si="36"/>
        <v>6977086.9614056712</v>
      </c>
      <c r="M129" s="217">
        <f t="shared" si="37"/>
        <v>70.16666666666643</v>
      </c>
      <c r="N129" s="217">
        <f t="shared" ca="1" si="51"/>
        <v>0</v>
      </c>
      <c r="O129" s="216">
        <f t="shared" ca="1" si="38"/>
        <v>76363.675936010943</v>
      </c>
      <c r="P129" s="216">
        <f t="shared" ca="1" si="39"/>
        <v>8302074.6799612353</v>
      </c>
      <c r="R129" s="217">
        <f t="shared" si="40"/>
        <v>70.16666666666643</v>
      </c>
      <c r="S129" s="240">
        <f t="shared" ca="1" si="30"/>
        <v>62856.639291942876</v>
      </c>
      <c r="T129" s="240">
        <f t="shared" ca="1" si="41"/>
        <v>6977086.9614056712</v>
      </c>
      <c r="V129" s="217">
        <f t="shared" si="42"/>
        <v>70.16666666666643</v>
      </c>
      <c r="W129" s="217">
        <f t="shared" ca="1" si="43"/>
        <v>0</v>
      </c>
      <c r="X129" s="240">
        <f t="shared" ca="1" si="44"/>
        <v>76363.675936010943</v>
      </c>
      <c r="Y129" s="240">
        <f t="shared" ca="1" si="45"/>
        <v>8275065.7830258701</v>
      </c>
      <c r="AA129" s="217">
        <f t="shared" si="46"/>
        <v>70.16666666666643</v>
      </c>
      <c r="AB129" s="216">
        <f t="shared" ca="1" si="31"/>
        <v>62856.639291942876</v>
      </c>
      <c r="AC129" s="240">
        <f t="shared" ca="1" si="47"/>
        <v>6977086.9614056712</v>
      </c>
      <c r="AD129" s="216"/>
      <c r="AF129" s="210">
        <f>ROW()</f>
        <v>129</v>
      </c>
      <c r="AG129" s="217">
        <f t="shared" si="48"/>
        <v>70.16666666666643</v>
      </c>
      <c r="AH129" s="217">
        <f t="shared" ca="1" si="52"/>
        <v>0</v>
      </c>
      <c r="AI129" s="217">
        <f ca="1">IF(AH128&lt;&gt;0,FINANCIAMIENTO!$F$5,0)</f>
        <v>0</v>
      </c>
      <c r="AJ129" s="240" t="b">
        <f t="shared" ca="1" si="50"/>
        <v>0</v>
      </c>
      <c r="AK129" s="240">
        <f t="shared" ca="1" si="32"/>
        <v>0</v>
      </c>
      <c r="AL129" s="240">
        <f t="shared" ca="1" si="33"/>
        <v>76363.675936010943</v>
      </c>
      <c r="AM129" s="240">
        <f t="shared" ca="1" si="34"/>
        <v>76363.675936010943</v>
      </c>
      <c r="AN129" s="240">
        <f t="shared" ca="1" si="49"/>
        <v>7785433.2420841223</v>
      </c>
    </row>
    <row r="130" spans="9:40">
      <c r="I130" s="217">
        <f t="shared" si="35"/>
        <v>70.249999999999758</v>
      </c>
      <c r="J130" s="216">
        <f t="shared" ca="1" si="29"/>
        <v>62856.639291942876</v>
      </c>
      <c r="K130" s="216">
        <f t="shared" ca="1" si="36"/>
        <v>7039943.6006976143</v>
      </c>
      <c r="M130" s="217">
        <f t="shared" si="37"/>
        <v>70.249999999999758</v>
      </c>
      <c r="N130" s="217">
        <f t="shared" ca="1" si="51"/>
        <v>0</v>
      </c>
      <c r="O130" s="216">
        <f t="shared" ca="1" si="38"/>
        <v>76363.675936010943</v>
      </c>
      <c r="P130" s="216">
        <f t="shared" ca="1" si="39"/>
        <v>8378438.3558972459</v>
      </c>
      <c r="R130" s="217">
        <f t="shared" si="40"/>
        <v>70.249999999999758</v>
      </c>
      <c r="S130" s="240">
        <f t="shared" ca="1" si="30"/>
        <v>62856.639291942876</v>
      </c>
      <c r="T130" s="240">
        <f t="shared" ca="1" si="41"/>
        <v>7039943.6006976143</v>
      </c>
      <c r="V130" s="217">
        <f t="shared" si="42"/>
        <v>70.249999999999758</v>
      </c>
      <c r="W130" s="217">
        <f t="shared" ca="1" si="43"/>
        <v>0</v>
      </c>
      <c r="X130" s="240">
        <f t="shared" ca="1" si="44"/>
        <v>76363.675936010943</v>
      </c>
      <c r="Y130" s="240">
        <f t="shared" ca="1" si="45"/>
        <v>8351429.4589618808</v>
      </c>
      <c r="AA130" s="217">
        <f t="shared" si="46"/>
        <v>70.249999999999758</v>
      </c>
      <c r="AB130" s="216">
        <f t="shared" ca="1" si="31"/>
        <v>62856.639291942876</v>
      </c>
      <c r="AC130" s="240">
        <f t="shared" ca="1" si="47"/>
        <v>7039943.6006976143</v>
      </c>
      <c r="AD130" s="216"/>
      <c r="AF130" s="210">
        <f>ROW()</f>
        <v>130</v>
      </c>
      <c r="AG130" s="217">
        <f t="shared" si="48"/>
        <v>70.249999999999758</v>
      </c>
      <c r="AH130" s="217">
        <f t="shared" ca="1" si="52"/>
        <v>0</v>
      </c>
      <c r="AI130" s="217">
        <f ca="1">IF(AH129&lt;&gt;0,FINANCIAMIENTO!$F$5,0)</f>
        <v>0</v>
      </c>
      <c r="AJ130" s="240" t="b">
        <f t="shared" ca="1" si="50"/>
        <v>0</v>
      </c>
      <c r="AK130" s="240">
        <f t="shared" ca="1" si="32"/>
        <v>0</v>
      </c>
      <c r="AL130" s="240">
        <f t="shared" ca="1" si="33"/>
        <v>76363.675936010943</v>
      </c>
      <c r="AM130" s="240">
        <f t="shared" ca="1" si="34"/>
        <v>76363.675936010943</v>
      </c>
      <c r="AN130" s="240">
        <f t="shared" ca="1" si="49"/>
        <v>7861796.9180201329</v>
      </c>
    </row>
    <row r="131" spans="9:40">
      <c r="I131" s="217">
        <f t="shared" si="35"/>
        <v>70.333333333333087</v>
      </c>
      <c r="J131" s="216">
        <f t="shared" ca="1" si="29"/>
        <v>62856.639291942876</v>
      </c>
      <c r="K131" s="216">
        <f t="shared" ca="1" si="36"/>
        <v>7102800.2399895573</v>
      </c>
      <c r="M131" s="217">
        <f t="shared" si="37"/>
        <v>70.333333333333087</v>
      </c>
      <c r="N131" s="217">
        <f t="shared" ca="1" si="51"/>
        <v>0</v>
      </c>
      <c r="O131" s="216">
        <f t="shared" ca="1" si="38"/>
        <v>76363.675936010943</v>
      </c>
      <c r="P131" s="216">
        <f t="shared" ca="1" si="39"/>
        <v>8454802.0318332575</v>
      </c>
      <c r="R131" s="217">
        <f t="shared" si="40"/>
        <v>70.333333333333087</v>
      </c>
      <c r="S131" s="240">
        <f t="shared" ca="1" si="30"/>
        <v>62856.639291942876</v>
      </c>
      <c r="T131" s="240">
        <f t="shared" ca="1" si="41"/>
        <v>7102800.2399895573</v>
      </c>
      <c r="V131" s="217">
        <f t="shared" si="42"/>
        <v>70.333333333333087</v>
      </c>
      <c r="W131" s="217">
        <f t="shared" ca="1" si="43"/>
        <v>0</v>
      </c>
      <c r="X131" s="240">
        <f t="shared" ca="1" si="44"/>
        <v>76363.675936010943</v>
      </c>
      <c r="Y131" s="240">
        <f t="shared" ca="1" si="45"/>
        <v>8427793.1348978914</v>
      </c>
      <c r="AA131" s="217">
        <f t="shared" si="46"/>
        <v>70.333333333333087</v>
      </c>
      <c r="AB131" s="216">
        <f t="shared" ca="1" si="31"/>
        <v>62856.639291942876</v>
      </c>
      <c r="AC131" s="240">
        <f t="shared" ca="1" si="47"/>
        <v>7102800.2399895573</v>
      </c>
      <c r="AD131" s="216"/>
      <c r="AF131" s="210">
        <f>ROW()</f>
        <v>131</v>
      </c>
      <c r="AG131" s="217">
        <f t="shared" si="48"/>
        <v>70.333333333333087</v>
      </c>
      <c r="AH131" s="217">
        <f t="shared" ca="1" si="52"/>
        <v>0</v>
      </c>
      <c r="AI131" s="217">
        <f ca="1">IF(AH130&lt;&gt;0,FINANCIAMIENTO!$F$5,0)</f>
        <v>0</v>
      </c>
      <c r="AJ131" s="240" t="b">
        <f t="shared" ca="1" si="50"/>
        <v>0</v>
      </c>
      <c r="AK131" s="240">
        <f t="shared" ca="1" si="32"/>
        <v>0</v>
      </c>
      <c r="AL131" s="240">
        <f t="shared" ca="1" si="33"/>
        <v>76363.675936010943</v>
      </c>
      <c r="AM131" s="240">
        <f t="shared" ca="1" si="34"/>
        <v>76363.675936010943</v>
      </c>
      <c r="AN131" s="240">
        <f t="shared" ca="1" si="49"/>
        <v>7938160.5939561436</v>
      </c>
    </row>
    <row r="132" spans="9:40">
      <c r="I132" s="217">
        <f t="shared" si="35"/>
        <v>70.416666666666416</v>
      </c>
      <c r="J132" s="216">
        <f t="shared" ca="1" si="29"/>
        <v>62856.639291942876</v>
      </c>
      <c r="K132" s="216">
        <f t="shared" ca="1" si="36"/>
        <v>7165656.8792815004</v>
      </c>
      <c r="M132" s="217">
        <f t="shared" si="37"/>
        <v>70.416666666666416</v>
      </c>
      <c r="N132" s="217">
        <f t="shared" ca="1" si="51"/>
        <v>0</v>
      </c>
      <c r="O132" s="216">
        <f t="shared" ca="1" si="38"/>
        <v>76363.675936010943</v>
      </c>
      <c r="P132" s="216">
        <f t="shared" ca="1" si="39"/>
        <v>8531165.7077692691</v>
      </c>
      <c r="R132" s="217">
        <f t="shared" si="40"/>
        <v>70.416666666666416</v>
      </c>
      <c r="S132" s="240">
        <f t="shared" ca="1" si="30"/>
        <v>62856.639291942876</v>
      </c>
      <c r="T132" s="240">
        <f t="shared" ca="1" si="41"/>
        <v>7165656.8792815004</v>
      </c>
      <c r="V132" s="217">
        <f t="shared" si="42"/>
        <v>70.416666666666416</v>
      </c>
      <c r="W132" s="217">
        <f t="shared" ca="1" si="43"/>
        <v>0</v>
      </c>
      <c r="X132" s="240">
        <f t="shared" ca="1" si="44"/>
        <v>76363.675936010943</v>
      </c>
      <c r="Y132" s="240">
        <f t="shared" ca="1" si="45"/>
        <v>8504156.810833903</v>
      </c>
      <c r="AA132" s="217">
        <f t="shared" si="46"/>
        <v>70.416666666666416</v>
      </c>
      <c r="AB132" s="216">
        <f t="shared" ca="1" si="31"/>
        <v>62856.639291942876</v>
      </c>
      <c r="AC132" s="240">
        <f t="shared" ca="1" si="47"/>
        <v>7165656.8792815004</v>
      </c>
      <c r="AD132" s="216"/>
      <c r="AF132" s="210">
        <f>ROW()</f>
        <v>132</v>
      </c>
      <c r="AG132" s="217">
        <f t="shared" si="48"/>
        <v>70.416666666666416</v>
      </c>
      <c r="AH132" s="217">
        <f t="shared" ca="1" si="52"/>
        <v>0</v>
      </c>
      <c r="AI132" s="217">
        <f ca="1">IF(AH131&lt;&gt;0,FINANCIAMIENTO!$F$5,0)</f>
        <v>0</v>
      </c>
      <c r="AJ132" s="240" t="b">
        <f t="shared" ca="1" si="50"/>
        <v>0</v>
      </c>
      <c r="AK132" s="240">
        <f t="shared" ca="1" si="32"/>
        <v>0</v>
      </c>
      <c r="AL132" s="240">
        <f t="shared" ca="1" si="33"/>
        <v>76363.675936010943</v>
      </c>
      <c r="AM132" s="240">
        <f t="shared" ca="1" si="34"/>
        <v>76363.675936010943</v>
      </c>
      <c r="AN132" s="240">
        <f t="shared" ca="1" si="49"/>
        <v>8014524.2698921543</v>
      </c>
    </row>
    <row r="133" spans="9:40">
      <c r="I133" s="217">
        <f t="shared" si="35"/>
        <v>70.499999999999744</v>
      </c>
      <c r="J133" s="216">
        <f t="shared" ca="1" si="29"/>
        <v>62856.639291942876</v>
      </c>
      <c r="K133" s="216">
        <f t="shared" ca="1" si="36"/>
        <v>7228513.5185734434</v>
      </c>
      <c r="M133" s="217">
        <f t="shared" si="37"/>
        <v>70.499999999999744</v>
      </c>
      <c r="N133" s="217">
        <f t="shared" ca="1" si="51"/>
        <v>0</v>
      </c>
      <c r="O133" s="216">
        <f t="shared" ca="1" si="38"/>
        <v>76363.675936010943</v>
      </c>
      <c r="P133" s="216">
        <f t="shared" ca="1" si="39"/>
        <v>8607529.3837052807</v>
      </c>
      <c r="R133" s="217">
        <f t="shared" si="40"/>
        <v>70.499999999999744</v>
      </c>
      <c r="S133" s="240">
        <f t="shared" ca="1" si="30"/>
        <v>62856.639291942876</v>
      </c>
      <c r="T133" s="240">
        <f t="shared" ca="1" si="41"/>
        <v>7228513.5185734434</v>
      </c>
      <c r="V133" s="217">
        <f t="shared" si="42"/>
        <v>70.499999999999744</v>
      </c>
      <c r="W133" s="217">
        <f t="shared" ca="1" si="43"/>
        <v>0</v>
      </c>
      <c r="X133" s="240">
        <f t="shared" ca="1" si="44"/>
        <v>76363.675936010943</v>
      </c>
      <c r="Y133" s="240">
        <f t="shared" ca="1" si="45"/>
        <v>8580520.4867699146</v>
      </c>
      <c r="AA133" s="217">
        <f t="shared" si="46"/>
        <v>70.499999999999744</v>
      </c>
      <c r="AB133" s="216">
        <f t="shared" ca="1" si="31"/>
        <v>62856.639291942876</v>
      </c>
      <c r="AC133" s="240">
        <f t="shared" ca="1" si="47"/>
        <v>7228513.5185734434</v>
      </c>
      <c r="AD133" s="216"/>
      <c r="AF133" s="210">
        <f>ROW()</f>
        <v>133</v>
      </c>
      <c r="AG133" s="217">
        <f t="shared" si="48"/>
        <v>70.499999999999744</v>
      </c>
      <c r="AH133" s="217">
        <f t="shared" ca="1" si="52"/>
        <v>0</v>
      </c>
      <c r="AI133" s="217">
        <f ca="1">IF(AH132&lt;&gt;0,FINANCIAMIENTO!$F$5,0)</f>
        <v>0</v>
      </c>
      <c r="AJ133" s="240" t="b">
        <f t="shared" ca="1" si="50"/>
        <v>0</v>
      </c>
      <c r="AK133" s="240">
        <f t="shared" ca="1" si="32"/>
        <v>0</v>
      </c>
      <c r="AL133" s="240">
        <f t="shared" ca="1" si="33"/>
        <v>76363.675936010943</v>
      </c>
      <c r="AM133" s="240">
        <f t="shared" ca="1" si="34"/>
        <v>76363.675936010943</v>
      </c>
      <c r="AN133" s="240">
        <f t="shared" ca="1" si="49"/>
        <v>8090887.9458281649</v>
      </c>
    </row>
    <row r="134" spans="9:40">
      <c r="I134" s="217">
        <f t="shared" si="35"/>
        <v>70.583333333333073</v>
      </c>
      <c r="J134" s="216">
        <f t="shared" ca="1" si="29"/>
        <v>62856.639291942876</v>
      </c>
      <c r="K134" s="216">
        <f t="shared" ca="1" si="36"/>
        <v>7291370.1578653865</v>
      </c>
      <c r="M134" s="217">
        <f t="shared" si="37"/>
        <v>70.583333333333073</v>
      </c>
      <c r="N134" s="217">
        <f t="shared" ref="N134:N165" ca="1" si="53">+IF(AND($N$3&gt;=M135-0.02,$N$3&lt;=M135+0.02),$N$4,0)</f>
        <v>0</v>
      </c>
      <c r="O134" s="216">
        <f t="shared" ca="1" si="38"/>
        <v>76363.675936010943</v>
      </c>
      <c r="P134" s="216">
        <f t="shared" ca="1" si="39"/>
        <v>8683893.0596412923</v>
      </c>
      <c r="R134" s="217">
        <f t="shared" si="40"/>
        <v>70.583333333333073</v>
      </c>
      <c r="S134" s="240">
        <f t="shared" ca="1" si="30"/>
        <v>62856.639291942876</v>
      </c>
      <c r="T134" s="240">
        <f t="shared" ca="1" si="41"/>
        <v>7291370.1578653865</v>
      </c>
      <c r="V134" s="217">
        <f t="shared" si="42"/>
        <v>70.583333333333073</v>
      </c>
      <c r="W134" s="217">
        <f t="shared" ca="1" si="43"/>
        <v>0</v>
      </c>
      <c r="X134" s="240">
        <f t="shared" ca="1" si="44"/>
        <v>76363.675936010943</v>
      </c>
      <c r="Y134" s="240">
        <f t="shared" ca="1" si="45"/>
        <v>8656884.1627059262</v>
      </c>
      <c r="AA134" s="217">
        <f t="shared" si="46"/>
        <v>70.583333333333073</v>
      </c>
      <c r="AB134" s="216">
        <f t="shared" ca="1" si="31"/>
        <v>62856.639291942876</v>
      </c>
      <c r="AC134" s="240">
        <f t="shared" ca="1" si="47"/>
        <v>7291370.1578653865</v>
      </c>
      <c r="AD134" s="216"/>
      <c r="AF134" s="210">
        <f>ROW()</f>
        <v>134</v>
      </c>
      <c r="AG134" s="217">
        <f t="shared" si="48"/>
        <v>70.583333333333073</v>
      </c>
      <c r="AH134" s="217">
        <f t="shared" ca="1" si="52"/>
        <v>0</v>
      </c>
      <c r="AI134" s="217">
        <f ca="1">IF(AH133&lt;&gt;0,FINANCIAMIENTO!$F$5,0)</f>
        <v>0</v>
      </c>
      <c r="AJ134" s="240" t="b">
        <f t="shared" ca="1" si="50"/>
        <v>0</v>
      </c>
      <c r="AK134" s="240">
        <f t="shared" ca="1" si="32"/>
        <v>0</v>
      </c>
      <c r="AL134" s="240">
        <f t="shared" ca="1" si="33"/>
        <v>76363.675936010943</v>
      </c>
      <c r="AM134" s="240">
        <f t="shared" ca="1" si="34"/>
        <v>76363.675936010943</v>
      </c>
      <c r="AN134" s="240">
        <f t="shared" ca="1" si="49"/>
        <v>8167251.6217641756</v>
      </c>
    </row>
    <row r="135" spans="9:40">
      <c r="I135" s="217">
        <f t="shared" si="35"/>
        <v>70.666666666666401</v>
      </c>
      <c r="J135" s="216">
        <f t="shared" ca="1" si="29"/>
        <v>62856.639291942876</v>
      </c>
      <c r="K135" s="216">
        <f t="shared" ca="1" si="36"/>
        <v>7354226.7971573295</v>
      </c>
      <c r="M135" s="217">
        <f t="shared" si="37"/>
        <v>70.666666666666401</v>
      </c>
      <c r="N135" s="217">
        <f t="shared" ca="1" si="53"/>
        <v>0</v>
      </c>
      <c r="O135" s="216">
        <f t="shared" ca="1" si="38"/>
        <v>76363.675936010943</v>
      </c>
      <c r="P135" s="216">
        <f t="shared" ca="1" si="39"/>
        <v>8760256.7355773039</v>
      </c>
      <c r="R135" s="217">
        <f t="shared" si="40"/>
        <v>70.666666666666401</v>
      </c>
      <c r="S135" s="240">
        <f t="shared" ca="1" si="30"/>
        <v>62856.639291942876</v>
      </c>
      <c r="T135" s="240">
        <f t="shared" ca="1" si="41"/>
        <v>7354226.7971573295</v>
      </c>
      <c r="V135" s="217">
        <f t="shared" si="42"/>
        <v>70.666666666666401</v>
      </c>
      <c r="W135" s="217">
        <f t="shared" ca="1" si="43"/>
        <v>0</v>
      </c>
      <c r="X135" s="240">
        <f t="shared" ca="1" si="44"/>
        <v>76363.675936010943</v>
      </c>
      <c r="Y135" s="240">
        <f t="shared" ca="1" si="45"/>
        <v>8733247.8386419378</v>
      </c>
      <c r="AA135" s="217">
        <f t="shared" si="46"/>
        <v>70.666666666666401</v>
      </c>
      <c r="AB135" s="216">
        <f t="shared" ca="1" si="31"/>
        <v>62856.639291942876</v>
      </c>
      <c r="AC135" s="240">
        <f t="shared" ca="1" si="47"/>
        <v>7354226.7971573295</v>
      </c>
      <c r="AD135" s="216"/>
      <c r="AF135" s="210">
        <f>ROW()</f>
        <v>135</v>
      </c>
      <c r="AG135" s="217">
        <f t="shared" si="48"/>
        <v>70.666666666666401</v>
      </c>
      <c r="AH135" s="217">
        <f t="shared" ref="AH135:AH166" ca="1" si="54">+IF(AND($AH$3&gt;=AG136-0.02,$N$3&lt;=AG136+0.02),$AH$4,0)</f>
        <v>0</v>
      </c>
      <c r="AI135" s="217">
        <f ca="1">IF(AH134&lt;&gt;0,FINANCIAMIENTO!$F$5,0)</f>
        <v>0</v>
      </c>
      <c r="AJ135" s="240" t="b">
        <f t="shared" ca="1" si="50"/>
        <v>0</v>
      </c>
      <c r="AK135" s="240">
        <f t="shared" ca="1" si="32"/>
        <v>0</v>
      </c>
      <c r="AL135" s="240">
        <f t="shared" ca="1" si="33"/>
        <v>76363.675936010943</v>
      </c>
      <c r="AM135" s="240">
        <f t="shared" ca="1" si="34"/>
        <v>76363.675936010943</v>
      </c>
      <c r="AN135" s="240">
        <f t="shared" ca="1" si="49"/>
        <v>8243615.2977001863</v>
      </c>
    </row>
    <row r="136" spans="9:40">
      <c r="I136" s="217">
        <f t="shared" si="35"/>
        <v>70.74999999999973</v>
      </c>
      <c r="J136" s="216">
        <f t="shared" ref="J136:J187" ca="1" si="55">+IF(I136&gt;=$J$3,$J$2,0)</f>
        <v>62856.639291942876</v>
      </c>
      <c r="K136" s="216">
        <f t="shared" ca="1" si="36"/>
        <v>7417083.4364492726</v>
      </c>
      <c r="M136" s="217">
        <f t="shared" si="37"/>
        <v>70.74999999999973</v>
      </c>
      <c r="N136" s="217">
        <f t="shared" ca="1" si="53"/>
        <v>0</v>
      </c>
      <c r="O136" s="216">
        <f t="shared" ca="1" si="38"/>
        <v>76363.675936010943</v>
      </c>
      <c r="P136" s="216">
        <f t="shared" ca="1" si="39"/>
        <v>8836620.4115133155</v>
      </c>
      <c r="R136" s="217">
        <f t="shared" si="40"/>
        <v>70.74999999999973</v>
      </c>
      <c r="S136" s="240">
        <f t="shared" ref="S136:S187" ca="1" si="56">+IF(R136&gt;=$J$3,$J$2,0)</f>
        <v>62856.639291942876</v>
      </c>
      <c r="T136" s="240">
        <f t="shared" ca="1" si="41"/>
        <v>7417083.4364492726</v>
      </c>
      <c r="V136" s="217">
        <f t="shared" si="42"/>
        <v>70.74999999999973</v>
      </c>
      <c r="W136" s="217">
        <f t="shared" ca="1" si="43"/>
        <v>0</v>
      </c>
      <c r="X136" s="240">
        <f t="shared" ca="1" si="44"/>
        <v>76363.675936010943</v>
      </c>
      <c r="Y136" s="240">
        <f t="shared" ca="1" si="45"/>
        <v>8809611.5145779494</v>
      </c>
      <c r="AA136" s="217">
        <f t="shared" si="46"/>
        <v>70.74999999999973</v>
      </c>
      <c r="AB136" s="216">
        <f t="shared" ref="AB136:AB187" ca="1" si="57">+IF(AA136&gt;=$J$3,$J$2,0)</f>
        <v>62856.639291942876</v>
      </c>
      <c r="AC136" s="240">
        <f t="shared" ca="1" si="47"/>
        <v>7417083.4364492726</v>
      </c>
      <c r="AD136" s="216"/>
      <c r="AF136" s="210">
        <f>ROW()</f>
        <v>136</v>
      </c>
      <c r="AG136" s="217">
        <f t="shared" si="48"/>
        <v>70.74999999999973</v>
      </c>
      <c r="AH136" s="217">
        <f t="shared" ca="1" si="54"/>
        <v>0</v>
      </c>
      <c r="AI136" s="217">
        <f ca="1">IF(AH135&lt;&gt;0,FINANCIAMIENTO!$F$5,0)</f>
        <v>0</v>
      </c>
      <c r="AJ136" s="240" t="b">
        <f t="shared" ca="1" si="50"/>
        <v>0</v>
      </c>
      <c r="AK136" s="240">
        <f t="shared" ref="AK136:AK185" ca="1" si="58">IF(AJ136=TRUE,$AE$7,0)</f>
        <v>0</v>
      </c>
      <c r="AL136" s="240">
        <f t="shared" ref="AL136:AL185" ca="1" si="59">+IF(AG136&gt;=$N$3,$N$2,0)</f>
        <v>76363.675936010943</v>
      </c>
      <c r="AM136" s="240">
        <f t="shared" ref="AM136:AM185" ca="1" si="60">IF(AND(AK136=$AE$7,AL136=$AH$2),$AE$7,IF(AL136=$AH$2,$AH$2,IF(AK136=$AE$7,$AE$7,0)))</f>
        <v>76363.675936010943</v>
      </c>
      <c r="AN136" s="240">
        <f t="shared" ca="1" si="49"/>
        <v>8319978.9736361969</v>
      </c>
    </row>
    <row r="137" spans="9:40">
      <c r="I137" s="217">
        <f t="shared" ref="I137:I200" si="61">+I136+$J$4</f>
        <v>70.833333333333059</v>
      </c>
      <c r="J137" s="216">
        <f t="shared" ca="1" si="55"/>
        <v>62856.639291942876</v>
      </c>
      <c r="K137" s="216">
        <f t="shared" ref="K137:K187" ca="1" si="62">+J137+K136</f>
        <v>7479940.0757412156</v>
      </c>
      <c r="M137" s="217">
        <f t="shared" ref="M137:M200" si="63">+M136+$J$4</f>
        <v>70.833333333333059</v>
      </c>
      <c r="N137" s="217">
        <f t="shared" ca="1" si="53"/>
        <v>0</v>
      </c>
      <c r="O137" s="216">
        <f t="shared" ref="O137:O187" ca="1" si="64">+IF(M137&gt;=$N$3,$N$2,0)</f>
        <v>76363.675936010943</v>
      </c>
      <c r="P137" s="216">
        <f t="shared" ref="P137:P187" ca="1" si="65">+N137+O137+P136</f>
        <v>8912984.0874493271</v>
      </c>
      <c r="R137" s="217">
        <f t="shared" ref="R137:R200" si="66">+R136+$J$4</f>
        <v>70.833333333333059</v>
      </c>
      <c r="S137" s="240">
        <f t="shared" ca="1" si="56"/>
        <v>62856.639291942876</v>
      </c>
      <c r="T137" s="240">
        <f t="shared" ref="T137:T187" ca="1" si="67">+S137+T136</f>
        <v>7479940.0757412156</v>
      </c>
      <c r="V137" s="217">
        <f t="shared" ref="V137:V200" si="68">+V136+$J$4</f>
        <v>70.833333333333059</v>
      </c>
      <c r="W137" s="217">
        <f t="shared" ref="W137:W187" ca="1" si="69">+IF(AND($W$3&gt;=V138-0.02,$N$3&lt;=V138+0.02),$W$4,0)</f>
        <v>0</v>
      </c>
      <c r="X137" s="240">
        <f t="shared" ref="X137:X187" ca="1" si="70">+IF(V137&gt;=$N$3,$N$2,0)</f>
        <v>76363.675936010943</v>
      </c>
      <c r="Y137" s="240">
        <f t="shared" ref="Y137:Y187" ca="1" si="71">+W137+X137+Y136</f>
        <v>8885975.190513961</v>
      </c>
      <c r="AA137" s="217">
        <f t="shared" ref="AA137:AA187" si="72">+AA136+$J$4</f>
        <v>70.833333333333059</v>
      </c>
      <c r="AB137" s="216">
        <f t="shared" ca="1" si="57"/>
        <v>62856.639291942876</v>
      </c>
      <c r="AC137" s="240">
        <f t="shared" ref="AC137:AC187" ca="1" si="73">+AB137+AC136</f>
        <v>7479940.0757412156</v>
      </c>
      <c r="AD137" s="216"/>
      <c r="AF137" s="210">
        <f>ROW()</f>
        <v>137</v>
      </c>
      <c r="AG137" s="217">
        <f t="shared" ref="AG137:AG200" si="74">+AG136+$J$4</f>
        <v>70.833333333333059</v>
      </c>
      <c r="AH137" s="217">
        <f t="shared" ca="1" si="54"/>
        <v>0</v>
      </c>
      <c r="AI137" s="217">
        <f ca="1">IF(AH136&lt;&gt;0,FINANCIAMIENTO!$F$5,0)</f>
        <v>0</v>
      </c>
      <c r="AJ137" s="240" t="b">
        <f t="shared" ca="1" si="50"/>
        <v>0</v>
      </c>
      <c r="AK137" s="240">
        <f t="shared" ca="1" si="58"/>
        <v>0</v>
      </c>
      <c r="AL137" s="240">
        <f t="shared" ca="1" si="59"/>
        <v>76363.675936010943</v>
      </c>
      <c r="AM137" s="240">
        <f t="shared" ca="1" si="60"/>
        <v>76363.675936010943</v>
      </c>
      <c r="AN137" s="240">
        <f t="shared" ref="AN137:AN185" ca="1" si="75">+AM137+AH137+AN136</f>
        <v>8396342.6495722085</v>
      </c>
    </row>
    <row r="138" spans="9:40">
      <c r="I138" s="217">
        <f t="shared" si="61"/>
        <v>70.916666666666387</v>
      </c>
      <c r="J138" s="216">
        <f t="shared" ca="1" si="55"/>
        <v>62856.639291942876</v>
      </c>
      <c r="K138" s="216">
        <f t="shared" ca="1" si="62"/>
        <v>7542796.7150331587</v>
      </c>
      <c r="M138" s="217">
        <f t="shared" si="63"/>
        <v>70.916666666666387</v>
      </c>
      <c r="N138" s="217">
        <f t="shared" ca="1" si="53"/>
        <v>0</v>
      </c>
      <c r="O138" s="216">
        <f t="shared" ca="1" si="64"/>
        <v>76363.675936010943</v>
      </c>
      <c r="P138" s="216">
        <f t="shared" ca="1" si="65"/>
        <v>8989347.7633853387</v>
      </c>
      <c r="R138" s="217">
        <f t="shared" si="66"/>
        <v>70.916666666666387</v>
      </c>
      <c r="S138" s="240">
        <f t="shared" ca="1" si="56"/>
        <v>62856.639291942876</v>
      </c>
      <c r="T138" s="240">
        <f t="shared" ca="1" si="67"/>
        <v>7542796.7150331587</v>
      </c>
      <c r="V138" s="217">
        <f t="shared" si="68"/>
        <v>70.916666666666387</v>
      </c>
      <c r="W138" s="217">
        <f t="shared" ca="1" si="69"/>
        <v>0</v>
      </c>
      <c r="X138" s="240">
        <f t="shared" ca="1" si="70"/>
        <v>76363.675936010943</v>
      </c>
      <c r="Y138" s="240">
        <f t="shared" ca="1" si="71"/>
        <v>8962338.8664499726</v>
      </c>
      <c r="AA138" s="217">
        <f t="shared" si="72"/>
        <v>70.916666666666387</v>
      </c>
      <c r="AB138" s="216">
        <f t="shared" ca="1" si="57"/>
        <v>62856.639291942876</v>
      </c>
      <c r="AC138" s="240">
        <f t="shared" ca="1" si="73"/>
        <v>7542796.7150331587</v>
      </c>
      <c r="AD138" s="216"/>
      <c r="AF138" s="210">
        <f>ROW()</f>
        <v>138</v>
      </c>
      <c r="AG138" s="217">
        <f t="shared" si="74"/>
        <v>70.916666666666387</v>
      </c>
      <c r="AH138" s="217">
        <f t="shared" ca="1" si="54"/>
        <v>0</v>
      </c>
      <c r="AI138" s="217">
        <f ca="1">IF(AH137&lt;&gt;0,FINANCIAMIENTO!$F$5,0)</f>
        <v>0</v>
      </c>
      <c r="AJ138" s="240" t="b">
        <f t="shared" ca="1" si="50"/>
        <v>0</v>
      </c>
      <c r="AK138" s="240">
        <f t="shared" ca="1" si="58"/>
        <v>0</v>
      </c>
      <c r="AL138" s="240">
        <f t="shared" ca="1" si="59"/>
        <v>76363.675936010943</v>
      </c>
      <c r="AM138" s="240">
        <f t="shared" ca="1" si="60"/>
        <v>76363.675936010943</v>
      </c>
      <c r="AN138" s="240">
        <f t="shared" ca="1" si="75"/>
        <v>8472706.3255082201</v>
      </c>
    </row>
    <row r="139" spans="9:40">
      <c r="I139" s="217">
        <f t="shared" si="61"/>
        <v>70.999999999999716</v>
      </c>
      <c r="J139" s="216">
        <f t="shared" ca="1" si="55"/>
        <v>62856.639291942876</v>
      </c>
      <c r="K139" s="216">
        <f t="shared" ca="1" si="62"/>
        <v>7605653.3543251017</v>
      </c>
      <c r="M139" s="217">
        <f t="shared" si="63"/>
        <v>70.999999999999716</v>
      </c>
      <c r="N139" s="217">
        <f t="shared" ca="1" si="53"/>
        <v>0</v>
      </c>
      <c r="O139" s="216">
        <f t="shared" ca="1" si="64"/>
        <v>76363.675936010943</v>
      </c>
      <c r="P139" s="216">
        <f t="shared" ca="1" si="65"/>
        <v>9065711.4393213503</v>
      </c>
      <c r="R139" s="217">
        <f t="shared" si="66"/>
        <v>70.999999999999716</v>
      </c>
      <c r="S139" s="240">
        <f t="shared" ca="1" si="56"/>
        <v>62856.639291942876</v>
      </c>
      <c r="T139" s="240">
        <f t="shared" ca="1" si="67"/>
        <v>7605653.3543251017</v>
      </c>
      <c r="V139" s="217">
        <f t="shared" si="68"/>
        <v>70.999999999999716</v>
      </c>
      <c r="W139" s="217">
        <f t="shared" ca="1" si="69"/>
        <v>0</v>
      </c>
      <c r="X139" s="240">
        <f t="shared" ca="1" si="70"/>
        <v>76363.675936010943</v>
      </c>
      <c r="Y139" s="240">
        <f t="shared" ca="1" si="71"/>
        <v>9038702.5423859842</v>
      </c>
      <c r="AA139" s="217">
        <f t="shared" si="72"/>
        <v>70.999999999999716</v>
      </c>
      <c r="AB139" s="216">
        <f t="shared" ca="1" si="57"/>
        <v>62856.639291942876</v>
      </c>
      <c r="AC139" s="240">
        <f t="shared" ca="1" si="73"/>
        <v>7605653.3543251017</v>
      </c>
      <c r="AD139" s="216"/>
      <c r="AF139" s="210">
        <f>ROW()</f>
        <v>139</v>
      </c>
      <c r="AG139" s="217">
        <f t="shared" si="74"/>
        <v>70.999999999999716</v>
      </c>
      <c r="AH139" s="217">
        <f t="shared" ca="1" si="54"/>
        <v>0</v>
      </c>
      <c r="AI139" s="217">
        <f ca="1">IF(AH138&lt;&gt;0,FINANCIAMIENTO!$F$5,0)</f>
        <v>0</v>
      </c>
      <c r="AJ139" s="240" t="b">
        <f t="shared" ca="1" si="50"/>
        <v>0</v>
      </c>
      <c r="AK139" s="240">
        <f t="shared" ca="1" si="58"/>
        <v>0</v>
      </c>
      <c r="AL139" s="240">
        <f t="shared" ca="1" si="59"/>
        <v>76363.675936010943</v>
      </c>
      <c r="AM139" s="240">
        <f t="shared" ca="1" si="60"/>
        <v>76363.675936010943</v>
      </c>
      <c r="AN139" s="240">
        <f t="shared" ca="1" si="75"/>
        <v>8549070.0014442317</v>
      </c>
    </row>
    <row r="140" spans="9:40">
      <c r="I140" s="217">
        <f t="shared" si="61"/>
        <v>71.083333333333044</v>
      </c>
      <c r="J140" s="216">
        <f t="shared" ca="1" si="55"/>
        <v>62856.639291942876</v>
      </c>
      <c r="K140" s="216">
        <f t="shared" ca="1" si="62"/>
        <v>7668509.9936170448</v>
      </c>
      <c r="M140" s="217">
        <f t="shared" si="63"/>
        <v>71.083333333333044</v>
      </c>
      <c r="N140" s="217">
        <f t="shared" ca="1" si="53"/>
        <v>0</v>
      </c>
      <c r="O140" s="216">
        <f t="shared" ca="1" si="64"/>
        <v>76363.675936010943</v>
      </c>
      <c r="P140" s="216">
        <f t="shared" ca="1" si="65"/>
        <v>9142075.1152573619</v>
      </c>
      <c r="R140" s="217">
        <f t="shared" si="66"/>
        <v>71.083333333333044</v>
      </c>
      <c r="S140" s="240">
        <f t="shared" ca="1" si="56"/>
        <v>62856.639291942876</v>
      </c>
      <c r="T140" s="240">
        <f t="shared" ca="1" si="67"/>
        <v>7668509.9936170448</v>
      </c>
      <c r="V140" s="217">
        <f t="shared" si="68"/>
        <v>71.083333333333044</v>
      </c>
      <c r="W140" s="217">
        <f t="shared" ca="1" si="69"/>
        <v>0</v>
      </c>
      <c r="X140" s="240">
        <f t="shared" ca="1" si="70"/>
        <v>76363.675936010943</v>
      </c>
      <c r="Y140" s="240">
        <f t="shared" ca="1" si="71"/>
        <v>9115066.2183219958</v>
      </c>
      <c r="AA140" s="217">
        <f t="shared" si="72"/>
        <v>71.083333333333044</v>
      </c>
      <c r="AB140" s="216">
        <f t="shared" ca="1" si="57"/>
        <v>62856.639291942876</v>
      </c>
      <c r="AC140" s="240">
        <f t="shared" ca="1" si="73"/>
        <v>7668509.9936170448</v>
      </c>
      <c r="AD140" s="216"/>
      <c r="AF140" s="210">
        <f>ROW()</f>
        <v>140</v>
      </c>
      <c r="AG140" s="217">
        <f t="shared" si="74"/>
        <v>71.083333333333044</v>
      </c>
      <c r="AH140" s="217">
        <f t="shared" ca="1" si="54"/>
        <v>0</v>
      </c>
      <c r="AI140" s="217">
        <f ca="1">IF(AH139&lt;&gt;0,FINANCIAMIENTO!$F$5,0)</f>
        <v>0</v>
      </c>
      <c r="AJ140" s="240" t="b">
        <f t="shared" ca="1" si="50"/>
        <v>0</v>
      </c>
      <c r="AK140" s="240">
        <f t="shared" ca="1" si="58"/>
        <v>0</v>
      </c>
      <c r="AL140" s="240">
        <f t="shared" ca="1" si="59"/>
        <v>76363.675936010943</v>
      </c>
      <c r="AM140" s="240">
        <f t="shared" ca="1" si="60"/>
        <v>76363.675936010943</v>
      </c>
      <c r="AN140" s="240">
        <f t="shared" ca="1" si="75"/>
        <v>8625433.6773802433</v>
      </c>
    </row>
    <row r="141" spans="9:40">
      <c r="I141" s="217">
        <f t="shared" si="61"/>
        <v>71.166666666666373</v>
      </c>
      <c r="J141" s="216">
        <f t="shared" ca="1" si="55"/>
        <v>62856.639291942876</v>
      </c>
      <c r="K141" s="216">
        <f t="shared" ca="1" si="62"/>
        <v>7731366.6329089878</v>
      </c>
      <c r="M141" s="217">
        <f t="shared" si="63"/>
        <v>71.166666666666373</v>
      </c>
      <c r="N141" s="217">
        <f t="shared" ca="1" si="53"/>
        <v>0</v>
      </c>
      <c r="O141" s="216">
        <f t="shared" ca="1" si="64"/>
        <v>76363.675936010943</v>
      </c>
      <c r="P141" s="216">
        <f t="shared" ca="1" si="65"/>
        <v>9218438.7911933735</v>
      </c>
      <c r="R141" s="217">
        <f t="shared" si="66"/>
        <v>71.166666666666373</v>
      </c>
      <c r="S141" s="240">
        <f t="shared" ca="1" si="56"/>
        <v>62856.639291942876</v>
      </c>
      <c r="T141" s="240">
        <f t="shared" ca="1" si="67"/>
        <v>7731366.6329089878</v>
      </c>
      <c r="V141" s="217">
        <f t="shared" si="68"/>
        <v>71.166666666666373</v>
      </c>
      <c r="W141" s="217">
        <f t="shared" ca="1" si="69"/>
        <v>0</v>
      </c>
      <c r="X141" s="240">
        <f t="shared" ca="1" si="70"/>
        <v>76363.675936010943</v>
      </c>
      <c r="Y141" s="240">
        <f t="shared" ca="1" si="71"/>
        <v>9191429.8942580074</v>
      </c>
      <c r="AA141" s="217">
        <f t="shared" si="72"/>
        <v>71.166666666666373</v>
      </c>
      <c r="AB141" s="216">
        <f t="shared" ca="1" si="57"/>
        <v>62856.639291942876</v>
      </c>
      <c r="AC141" s="240">
        <f t="shared" ca="1" si="73"/>
        <v>7731366.6329089878</v>
      </c>
      <c r="AD141" s="216"/>
      <c r="AF141" s="210">
        <f>ROW()</f>
        <v>141</v>
      </c>
      <c r="AG141" s="217">
        <f t="shared" si="74"/>
        <v>71.166666666666373</v>
      </c>
      <c r="AH141" s="217">
        <f t="shared" ca="1" si="54"/>
        <v>0</v>
      </c>
      <c r="AI141" s="217">
        <f ca="1">IF(AH140&lt;&gt;0,FINANCIAMIENTO!$F$5,0)</f>
        <v>0</v>
      </c>
      <c r="AJ141" s="240" t="b">
        <f t="shared" ca="1" si="50"/>
        <v>0</v>
      </c>
      <c r="AK141" s="240">
        <f t="shared" ca="1" si="58"/>
        <v>0</v>
      </c>
      <c r="AL141" s="240">
        <f t="shared" ca="1" si="59"/>
        <v>76363.675936010943</v>
      </c>
      <c r="AM141" s="240">
        <f t="shared" ca="1" si="60"/>
        <v>76363.675936010943</v>
      </c>
      <c r="AN141" s="240">
        <f t="shared" ca="1" si="75"/>
        <v>8701797.3533162549</v>
      </c>
    </row>
    <row r="142" spans="9:40">
      <c r="I142" s="217">
        <f t="shared" si="61"/>
        <v>71.249999999999702</v>
      </c>
      <c r="J142" s="216">
        <f t="shared" ca="1" si="55"/>
        <v>62856.639291942876</v>
      </c>
      <c r="K142" s="216">
        <f t="shared" ca="1" si="62"/>
        <v>7794223.2722009309</v>
      </c>
      <c r="M142" s="217">
        <f t="shared" si="63"/>
        <v>71.249999999999702</v>
      </c>
      <c r="N142" s="217">
        <f t="shared" ca="1" si="53"/>
        <v>0</v>
      </c>
      <c r="O142" s="216">
        <f t="shared" ca="1" si="64"/>
        <v>76363.675936010943</v>
      </c>
      <c r="P142" s="216">
        <f t="shared" ca="1" si="65"/>
        <v>9294802.4671293851</v>
      </c>
      <c r="R142" s="217">
        <f t="shared" si="66"/>
        <v>71.249999999999702</v>
      </c>
      <c r="S142" s="240">
        <f t="shared" ca="1" si="56"/>
        <v>62856.639291942876</v>
      </c>
      <c r="T142" s="240">
        <f t="shared" ca="1" si="67"/>
        <v>7794223.2722009309</v>
      </c>
      <c r="V142" s="217">
        <f t="shared" si="68"/>
        <v>71.249999999999702</v>
      </c>
      <c r="W142" s="217">
        <f t="shared" ca="1" si="69"/>
        <v>0</v>
      </c>
      <c r="X142" s="240">
        <f t="shared" ca="1" si="70"/>
        <v>76363.675936010943</v>
      </c>
      <c r="Y142" s="240">
        <f t="shared" ca="1" si="71"/>
        <v>9267793.570194019</v>
      </c>
      <c r="AA142" s="217">
        <f t="shared" si="72"/>
        <v>71.249999999999702</v>
      </c>
      <c r="AB142" s="216">
        <f t="shared" ca="1" si="57"/>
        <v>62856.639291942876</v>
      </c>
      <c r="AC142" s="240">
        <f t="shared" ca="1" si="73"/>
        <v>7794223.2722009309</v>
      </c>
      <c r="AD142" s="216"/>
      <c r="AF142" s="210">
        <f>ROW()</f>
        <v>142</v>
      </c>
      <c r="AG142" s="217">
        <f t="shared" si="74"/>
        <v>71.249999999999702</v>
      </c>
      <c r="AH142" s="217">
        <f t="shared" ca="1" si="54"/>
        <v>0</v>
      </c>
      <c r="AI142" s="217">
        <f ca="1">IF(AH141&lt;&gt;0,FINANCIAMIENTO!$F$5,0)</f>
        <v>0</v>
      </c>
      <c r="AJ142" s="240" t="b">
        <f t="shared" ca="1" si="50"/>
        <v>0</v>
      </c>
      <c r="AK142" s="240">
        <f t="shared" ca="1" si="58"/>
        <v>0</v>
      </c>
      <c r="AL142" s="240">
        <f t="shared" ca="1" si="59"/>
        <v>76363.675936010943</v>
      </c>
      <c r="AM142" s="240">
        <f t="shared" ca="1" si="60"/>
        <v>76363.675936010943</v>
      </c>
      <c r="AN142" s="240">
        <f t="shared" ca="1" si="75"/>
        <v>8778161.0292522665</v>
      </c>
    </row>
    <row r="143" spans="9:40">
      <c r="I143" s="217">
        <f t="shared" si="61"/>
        <v>71.33333333333303</v>
      </c>
      <c r="J143" s="216">
        <f t="shared" ca="1" si="55"/>
        <v>62856.639291942876</v>
      </c>
      <c r="K143" s="216">
        <f t="shared" ca="1" si="62"/>
        <v>7857079.9114928739</v>
      </c>
      <c r="M143" s="217">
        <f t="shared" si="63"/>
        <v>71.33333333333303</v>
      </c>
      <c r="N143" s="217">
        <f t="shared" ca="1" si="53"/>
        <v>0</v>
      </c>
      <c r="O143" s="216">
        <f t="shared" ca="1" si="64"/>
        <v>76363.675936010943</v>
      </c>
      <c r="P143" s="216">
        <f t="shared" ca="1" si="65"/>
        <v>9371166.1430653967</v>
      </c>
      <c r="R143" s="217">
        <f t="shared" si="66"/>
        <v>71.33333333333303</v>
      </c>
      <c r="S143" s="240">
        <f t="shared" ca="1" si="56"/>
        <v>62856.639291942876</v>
      </c>
      <c r="T143" s="240">
        <f t="shared" ca="1" si="67"/>
        <v>7857079.9114928739</v>
      </c>
      <c r="V143" s="217">
        <f t="shared" si="68"/>
        <v>71.33333333333303</v>
      </c>
      <c r="W143" s="217">
        <f t="shared" ca="1" si="69"/>
        <v>0</v>
      </c>
      <c r="X143" s="240">
        <f t="shared" ca="1" si="70"/>
        <v>76363.675936010943</v>
      </c>
      <c r="Y143" s="240">
        <f t="shared" ca="1" si="71"/>
        <v>9344157.2461300306</v>
      </c>
      <c r="AA143" s="217">
        <f t="shared" si="72"/>
        <v>71.33333333333303</v>
      </c>
      <c r="AB143" s="216">
        <f t="shared" ca="1" si="57"/>
        <v>62856.639291942876</v>
      </c>
      <c r="AC143" s="240">
        <f t="shared" ca="1" si="73"/>
        <v>7857079.9114928739</v>
      </c>
      <c r="AD143" s="216"/>
      <c r="AF143" s="210">
        <f>ROW()</f>
        <v>143</v>
      </c>
      <c r="AG143" s="217">
        <f t="shared" si="74"/>
        <v>71.33333333333303</v>
      </c>
      <c r="AH143" s="217">
        <f t="shared" ca="1" si="54"/>
        <v>0</v>
      </c>
      <c r="AI143" s="217">
        <f ca="1">IF(AH142&lt;&gt;0,FINANCIAMIENTO!$F$5,0)</f>
        <v>0</v>
      </c>
      <c r="AJ143" s="240" t="b">
        <f t="shared" ca="1" si="50"/>
        <v>0</v>
      </c>
      <c r="AK143" s="240">
        <f t="shared" ca="1" si="58"/>
        <v>0</v>
      </c>
      <c r="AL143" s="240">
        <f t="shared" ca="1" si="59"/>
        <v>76363.675936010943</v>
      </c>
      <c r="AM143" s="240">
        <f t="shared" ca="1" si="60"/>
        <v>76363.675936010943</v>
      </c>
      <c r="AN143" s="240">
        <f t="shared" ca="1" si="75"/>
        <v>8854524.7051882781</v>
      </c>
    </row>
    <row r="144" spans="9:40">
      <c r="I144" s="217">
        <f t="shared" si="61"/>
        <v>71.416666666666359</v>
      </c>
      <c r="J144" s="216">
        <f t="shared" ca="1" si="55"/>
        <v>62856.639291942876</v>
      </c>
      <c r="K144" s="216">
        <f t="shared" ca="1" si="62"/>
        <v>7919936.550784817</v>
      </c>
      <c r="M144" s="217">
        <f t="shared" si="63"/>
        <v>71.416666666666359</v>
      </c>
      <c r="N144" s="217">
        <f t="shared" ca="1" si="53"/>
        <v>0</v>
      </c>
      <c r="O144" s="216">
        <f t="shared" ca="1" si="64"/>
        <v>76363.675936010943</v>
      </c>
      <c r="P144" s="216">
        <f t="shared" ca="1" si="65"/>
        <v>9447529.8190014083</v>
      </c>
      <c r="R144" s="217">
        <f t="shared" si="66"/>
        <v>71.416666666666359</v>
      </c>
      <c r="S144" s="240">
        <f t="shared" ca="1" si="56"/>
        <v>62856.639291942876</v>
      </c>
      <c r="T144" s="240">
        <f t="shared" ca="1" si="67"/>
        <v>7919936.550784817</v>
      </c>
      <c r="V144" s="217">
        <f t="shared" si="68"/>
        <v>71.416666666666359</v>
      </c>
      <c r="W144" s="217">
        <f t="shared" ca="1" si="69"/>
        <v>0</v>
      </c>
      <c r="X144" s="240">
        <f t="shared" ca="1" si="70"/>
        <v>76363.675936010943</v>
      </c>
      <c r="Y144" s="240">
        <f t="shared" ca="1" si="71"/>
        <v>9420520.9220660422</v>
      </c>
      <c r="AA144" s="217">
        <f t="shared" si="72"/>
        <v>71.416666666666359</v>
      </c>
      <c r="AB144" s="216">
        <f t="shared" ca="1" si="57"/>
        <v>62856.639291942876</v>
      </c>
      <c r="AC144" s="240">
        <f t="shared" ca="1" si="73"/>
        <v>7919936.550784817</v>
      </c>
      <c r="AD144" s="216"/>
      <c r="AF144" s="210">
        <f>ROW()</f>
        <v>144</v>
      </c>
      <c r="AG144" s="217">
        <f t="shared" si="74"/>
        <v>71.416666666666359</v>
      </c>
      <c r="AH144" s="217">
        <f t="shared" ca="1" si="54"/>
        <v>0</v>
      </c>
      <c r="AI144" s="217">
        <f ca="1">IF(AH143&lt;&gt;0,FINANCIAMIENTO!$F$5,0)</f>
        <v>0</v>
      </c>
      <c r="AJ144" s="240" t="b">
        <f t="shared" ref="AJ144:AJ207" ca="1" si="76">AND(
   ROW(AF144)-ROW(AF$7)+1 &gt;= MATCH($AE$7,$AI$7:$AI$187,0),
   ROW(AF144)-ROW(AF$7)+1 &lt;= MATCH($AE$7,$AI$7:$AI$187,0)+54
)</f>
        <v>0</v>
      </c>
      <c r="AK144" s="240">
        <f t="shared" ca="1" si="58"/>
        <v>0</v>
      </c>
      <c r="AL144" s="240">
        <f t="shared" ca="1" si="59"/>
        <v>76363.675936010943</v>
      </c>
      <c r="AM144" s="240">
        <f t="shared" ca="1" si="60"/>
        <v>76363.675936010943</v>
      </c>
      <c r="AN144" s="240">
        <f t="shared" ca="1" si="75"/>
        <v>8930888.3811242897</v>
      </c>
    </row>
    <row r="145" spans="9:40">
      <c r="I145" s="217">
        <f t="shared" si="61"/>
        <v>71.499999999999687</v>
      </c>
      <c r="J145" s="216">
        <f t="shared" ca="1" si="55"/>
        <v>62856.639291942876</v>
      </c>
      <c r="K145" s="216">
        <f t="shared" ca="1" si="62"/>
        <v>7982793.19007676</v>
      </c>
      <c r="M145" s="217">
        <f t="shared" si="63"/>
        <v>71.499999999999687</v>
      </c>
      <c r="N145" s="217">
        <f t="shared" ca="1" si="53"/>
        <v>0</v>
      </c>
      <c r="O145" s="216">
        <f t="shared" ca="1" si="64"/>
        <v>76363.675936010943</v>
      </c>
      <c r="P145" s="216">
        <f t="shared" ca="1" si="65"/>
        <v>9523893.4949374199</v>
      </c>
      <c r="R145" s="217">
        <f t="shared" si="66"/>
        <v>71.499999999999687</v>
      </c>
      <c r="S145" s="240">
        <f t="shared" ca="1" si="56"/>
        <v>62856.639291942876</v>
      </c>
      <c r="T145" s="240">
        <f t="shared" ca="1" si="67"/>
        <v>7982793.19007676</v>
      </c>
      <c r="V145" s="217">
        <f t="shared" si="68"/>
        <v>71.499999999999687</v>
      </c>
      <c r="W145" s="217">
        <f t="shared" ca="1" si="69"/>
        <v>0</v>
      </c>
      <c r="X145" s="240">
        <f t="shared" ca="1" si="70"/>
        <v>76363.675936010943</v>
      </c>
      <c r="Y145" s="240">
        <f t="shared" ca="1" si="71"/>
        <v>9496884.5980020538</v>
      </c>
      <c r="AA145" s="217">
        <f t="shared" si="72"/>
        <v>71.499999999999687</v>
      </c>
      <c r="AB145" s="216">
        <f t="shared" ca="1" si="57"/>
        <v>62856.639291942876</v>
      </c>
      <c r="AC145" s="240">
        <f t="shared" ca="1" si="73"/>
        <v>7982793.19007676</v>
      </c>
      <c r="AD145" s="216"/>
      <c r="AF145" s="210">
        <f>ROW()</f>
        <v>145</v>
      </c>
      <c r="AG145" s="217">
        <f t="shared" si="74"/>
        <v>71.499999999999687</v>
      </c>
      <c r="AH145" s="217">
        <f t="shared" ca="1" si="54"/>
        <v>0</v>
      </c>
      <c r="AI145" s="217">
        <f ca="1">IF(AH144&lt;&gt;0,FINANCIAMIENTO!$F$5,0)</f>
        <v>0</v>
      </c>
      <c r="AJ145" s="240" t="b">
        <f t="shared" ca="1" si="76"/>
        <v>0</v>
      </c>
      <c r="AK145" s="240">
        <f t="shared" ca="1" si="58"/>
        <v>0</v>
      </c>
      <c r="AL145" s="240">
        <f t="shared" ca="1" si="59"/>
        <v>76363.675936010943</v>
      </c>
      <c r="AM145" s="240">
        <f t="shared" ca="1" si="60"/>
        <v>76363.675936010943</v>
      </c>
      <c r="AN145" s="240">
        <f t="shared" ca="1" si="75"/>
        <v>9007252.0570603013</v>
      </c>
    </row>
    <row r="146" spans="9:40">
      <c r="I146" s="217">
        <f t="shared" si="61"/>
        <v>71.583333333333016</v>
      </c>
      <c r="J146" s="216">
        <f t="shared" ca="1" si="55"/>
        <v>62856.639291942876</v>
      </c>
      <c r="K146" s="216">
        <f t="shared" ca="1" si="62"/>
        <v>8045649.8293687031</v>
      </c>
      <c r="M146" s="217">
        <f t="shared" si="63"/>
        <v>71.583333333333016</v>
      </c>
      <c r="N146" s="217">
        <f t="shared" ca="1" si="53"/>
        <v>0</v>
      </c>
      <c r="O146" s="216">
        <f t="shared" ca="1" si="64"/>
        <v>76363.675936010943</v>
      </c>
      <c r="P146" s="216">
        <f t="shared" ca="1" si="65"/>
        <v>9600257.1708734315</v>
      </c>
      <c r="R146" s="217">
        <f t="shared" si="66"/>
        <v>71.583333333333016</v>
      </c>
      <c r="S146" s="240">
        <f t="shared" ca="1" si="56"/>
        <v>62856.639291942876</v>
      </c>
      <c r="T146" s="240">
        <f t="shared" ca="1" si="67"/>
        <v>8045649.8293687031</v>
      </c>
      <c r="V146" s="217">
        <f t="shared" si="68"/>
        <v>71.583333333333016</v>
      </c>
      <c r="W146" s="217">
        <f t="shared" ca="1" si="69"/>
        <v>0</v>
      </c>
      <c r="X146" s="240">
        <f t="shared" ca="1" si="70"/>
        <v>76363.675936010943</v>
      </c>
      <c r="Y146" s="240">
        <f t="shared" ca="1" si="71"/>
        <v>9573248.2739380654</v>
      </c>
      <c r="AA146" s="217">
        <f t="shared" si="72"/>
        <v>71.583333333333016</v>
      </c>
      <c r="AB146" s="216">
        <f t="shared" ca="1" si="57"/>
        <v>62856.639291942876</v>
      </c>
      <c r="AC146" s="240">
        <f t="shared" ca="1" si="73"/>
        <v>8045649.8293687031</v>
      </c>
      <c r="AD146" s="216"/>
      <c r="AF146" s="210">
        <f>ROW()</f>
        <v>146</v>
      </c>
      <c r="AG146" s="217">
        <f t="shared" si="74"/>
        <v>71.583333333333016</v>
      </c>
      <c r="AH146" s="217">
        <f t="shared" ca="1" si="54"/>
        <v>0</v>
      </c>
      <c r="AI146" s="217">
        <f ca="1">IF(AH145&lt;&gt;0,FINANCIAMIENTO!$F$5,0)</f>
        <v>0</v>
      </c>
      <c r="AJ146" s="240" t="b">
        <f t="shared" ca="1" si="76"/>
        <v>0</v>
      </c>
      <c r="AK146" s="240">
        <f t="shared" ca="1" si="58"/>
        <v>0</v>
      </c>
      <c r="AL146" s="240">
        <f t="shared" ca="1" si="59"/>
        <v>76363.675936010943</v>
      </c>
      <c r="AM146" s="240">
        <f t="shared" ca="1" si="60"/>
        <v>76363.675936010943</v>
      </c>
      <c r="AN146" s="240">
        <f t="shared" ca="1" si="75"/>
        <v>9083615.7329963129</v>
      </c>
    </row>
    <row r="147" spans="9:40">
      <c r="I147" s="217">
        <f t="shared" si="61"/>
        <v>71.666666666666345</v>
      </c>
      <c r="J147" s="216">
        <f t="shared" ca="1" si="55"/>
        <v>62856.639291942876</v>
      </c>
      <c r="K147" s="216">
        <f t="shared" ca="1" si="62"/>
        <v>8108506.4686606461</v>
      </c>
      <c r="M147" s="217">
        <f t="shared" si="63"/>
        <v>71.666666666666345</v>
      </c>
      <c r="N147" s="217">
        <f t="shared" ca="1" si="53"/>
        <v>0</v>
      </c>
      <c r="O147" s="216">
        <f t="shared" ca="1" si="64"/>
        <v>76363.675936010943</v>
      </c>
      <c r="P147" s="216">
        <f t="shared" ca="1" si="65"/>
        <v>9676620.8468094431</v>
      </c>
      <c r="R147" s="217">
        <f t="shared" si="66"/>
        <v>71.666666666666345</v>
      </c>
      <c r="S147" s="240">
        <f t="shared" ca="1" si="56"/>
        <v>62856.639291942876</v>
      </c>
      <c r="T147" s="240">
        <f t="shared" ca="1" si="67"/>
        <v>8108506.4686606461</v>
      </c>
      <c r="V147" s="217">
        <f t="shared" si="68"/>
        <v>71.666666666666345</v>
      </c>
      <c r="W147" s="217">
        <f t="shared" ca="1" si="69"/>
        <v>0</v>
      </c>
      <c r="X147" s="240">
        <f t="shared" ca="1" si="70"/>
        <v>76363.675936010943</v>
      </c>
      <c r="Y147" s="240">
        <f t="shared" ca="1" si="71"/>
        <v>9649611.949874077</v>
      </c>
      <c r="AA147" s="217">
        <f t="shared" si="72"/>
        <v>71.666666666666345</v>
      </c>
      <c r="AB147" s="216">
        <f t="shared" ca="1" si="57"/>
        <v>62856.639291942876</v>
      </c>
      <c r="AC147" s="240">
        <f t="shared" ca="1" si="73"/>
        <v>8108506.4686606461</v>
      </c>
      <c r="AD147" s="216"/>
      <c r="AF147" s="210">
        <f>ROW()</f>
        <v>147</v>
      </c>
      <c r="AG147" s="217">
        <f t="shared" si="74"/>
        <v>71.666666666666345</v>
      </c>
      <c r="AH147" s="217">
        <f t="shared" ca="1" si="54"/>
        <v>0</v>
      </c>
      <c r="AI147" s="217">
        <f ca="1">IF(AH146&lt;&gt;0,FINANCIAMIENTO!$F$5,0)</f>
        <v>0</v>
      </c>
      <c r="AJ147" s="240" t="b">
        <f t="shared" ca="1" si="76"/>
        <v>0</v>
      </c>
      <c r="AK147" s="240">
        <f t="shared" ca="1" si="58"/>
        <v>0</v>
      </c>
      <c r="AL147" s="240">
        <f t="shared" ca="1" si="59"/>
        <v>76363.675936010943</v>
      </c>
      <c r="AM147" s="240">
        <f t="shared" ca="1" si="60"/>
        <v>76363.675936010943</v>
      </c>
      <c r="AN147" s="240">
        <f t="shared" ca="1" si="75"/>
        <v>9159979.4089323245</v>
      </c>
    </row>
    <row r="148" spans="9:40">
      <c r="I148" s="217">
        <f t="shared" si="61"/>
        <v>71.749999999999673</v>
      </c>
      <c r="J148" s="216">
        <f t="shared" ca="1" si="55"/>
        <v>62856.639291942876</v>
      </c>
      <c r="K148" s="216">
        <f t="shared" ca="1" si="62"/>
        <v>8171363.1079525892</v>
      </c>
      <c r="M148" s="217">
        <f t="shared" si="63"/>
        <v>71.749999999999673</v>
      </c>
      <c r="N148" s="217">
        <f t="shared" ca="1" si="53"/>
        <v>0</v>
      </c>
      <c r="O148" s="216">
        <f t="shared" ca="1" si="64"/>
        <v>76363.675936010943</v>
      </c>
      <c r="P148" s="216">
        <f t="shared" ca="1" si="65"/>
        <v>9752984.5227454547</v>
      </c>
      <c r="R148" s="217">
        <f t="shared" si="66"/>
        <v>71.749999999999673</v>
      </c>
      <c r="S148" s="240">
        <f t="shared" ca="1" si="56"/>
        <v>62856.639291942876</v>
      </c>
      <c r="T148" s="240">
        <f t="shared" ca="1" si="67"/>
        <v>8171363.1079525892</v>
      </c>
      <c r="V148" s="217">
        <f t="shared" si="68"/>
        <v>71.749999999999673</v>
      </c>
      <c r="W148" s="217">
        <f t="shared" ca="1" si="69"/>
        <v>0</v>
      </c>
      <c r="X148" s="240">
        <f t="shared" ca="1" si="70"/>
        <v>76363.675936010943</v>
      </c>
      <c r="Y148" s="240">
        <f t="shared" ca="1" si="71"/>
        <v>9725975.6258100886</v>
      </c>
      <c r="AA148" s="217">
        <f t="shared" si="72"/>
        <v>71.749999999999673</v>
      </c>
      <c r="AB148" s="216">
        <f t="shared" ca="1" si="57"/>
        <v>62856.639291942876</v>
      </c>
      <c r="AC148" s="240">
        <f t="shared" ca="1" si="73"/>
        <v>8171363.1079525892</v>
      </c>
      <c r="AD148" s="216"/>
      <c r="AF148" s="210">
        <f>ROW()</f>
        <v>148</v>
      </c>
      <c r="AG148" s="217">
        <f t="shared" si="74"/>
        <v>71.749999999999673</v>
      </c>
      <c r="AH148" s="217">
        <f t="shared" ca="1" si="54"/>
        <v>0</v>
      </c>
      <c r="AI148" s="217">
        <f ca="1">IF(AH147&lt;&gt;0,FINANCIAMIENTO!$F$5,0)</f>
        <v>0</v>
      </c>
      <c r="AJ148" s="240" t="b">
        <f t="shared" ca="1" si="76"/>
        <v>0</v>
      </c>
      <c r="AK148" s="240">
        <f t="shared" ca="1" si="58"/>
        <v>0</v>
      </c>
      <c r="AL148" s="240">
        <f t="shared" ca="1" si="59"/>
        <v>76363.675936010943</v>
      </c>
      <c r="AM148" s="240">
        <f t="shared" ca="1" si="60"/>
        <v>76363.675936010943</v>
      </c>
      <c r="AN148" s="240">
        <f t="shared" ca="1" si="75"/>
        <v>9236343.0848683361</v>
      </c>
    </row>
    <row r="149" spans="9:40">
      <c r="I149" s="217">
        <f t="shared" si="61"/>
        <v>71.833333333333002</v>
      </c>
      <c r="J149" s="216">
        <f t="shared" ca="1" si="55"/>
        <v>62856.639291942876</v>
      </c>
      <c r="K149" s="216">
        <f t="shared" ca="1" si="62"/>
        <v>8234219.7472445322</v>
      </c>
      <c r="M149" s="217">
        <f t="shared" si="63"/>
        <v>71.833333333333002</v>
      </c>
      <c r="N149" s="217">
        <f t="shared" ca="1" si="53"/>
        <v>0</v>
      </c>
      <c r="O149" s="216">
        <f t="shared" ca="1" si="64"/>
        <v>76363.675936010943</v>
      </c>
      <c r="P149" s="216">
        <f t="shared" ca="1" si="65"/>
        <v>9829348.1986814663</v>
      </c>
      <c r="R149" s="217">
        <f t="shared" si="66"/>
        <v>71.833333333333002</v>
      </c>
      <c r="S149" s="240">
        <f t="shared" ca="1" si="56"/>
        <v>62856.639291942876</v>
      </c>
      <c r="T149" s="240">
        <f t="shared" ca="1" si="67"/>
        <v>8234219.7472445322</v>
      </c>
      <c r="V149" s="217">
        <f t="shared" si="68"/>
        <v>71.833333333333002</v>
      </c>
      <c r="W149" s="217">
        <f t="shared" ca="1" si="69"/>
        <v>0</v>
      </c>
      <c r="X149" s="240">
        <f t="shared" ca="1" si="70"/>
        <v>76363.675936010943</v>
      </c>
      <c r="Y149" s="240">
        <f t="shared" ca="1" si="71"/>
        <v>9802339.3017461002</v>
      </c>
      <c r="AA149" s="217">
        <f t="shared" si="72"/>
        <v>71.833333333333002</v>
      </c>
      <c r="AB149" s="216">
        <f t="shared" ca="1" si="57"/>
        <v>62856.639291942876</v>
      </c>
      <c r="AC149" s="240">
        <f t="shared" ca="1" si="73"/>
        <v>8234219.7472445322</v>
      </c>
      <c r="AD149" s="216"/>
      <c r="AF149" s="210">
        <f>ROW()</f>
        <v>149</v>
      </c>
      <c r="AG149" s="217">
        <f t="shared" si="74"/>
        <v>71.833333333333002</v>
      </c>
      <c r="AH149" s="217">
        <f t="shared" ca="1" si="54"/>
        <v>0</v>
      </c>
      <c r="AI149" s="217">
        <f ca="1">IF(AH148&lt;&gt;0,FINANCIAMIENTO!$F$5,0)</f>
        <v>0</v>
      </c>
      <c r="AJ149" s="240" t="b">
        <f t="shared" ca="1" si="76"/>
        <v>0</v>
      </c>
      <c r="AK149" s="240">
        <f t="shared" ca="1" si="58"/>
        <v>0</v>
      </c>
      <c r="AL149" s="240">
        <f t="shared" ca="1" si="59"/>
        <v>76363.675936010943</v>
      </c>
      <c r="AM149" s="240">
        <f t="shared" ca="1" si="60"/>
        <v>76363.675936010943</v>
      </c>
      <c r="AN149" s="240">
        <f t="shared" ca="1" si="75"/>
        <v>9312706.7608043477</v>
      </c>
    </row>
    <row r="150" spans="9:40">
      <c r="I150" s="217">
        <f t="shared" si="61"/>
        <v>71.91666666666633</v>
      </c>
      <c r="J150" s="216">
        <f t="shared" ca="1" si="55"/>
        <v>62856.639291942876</v>
      </c>
      <c r="K150" s="216">
        <f t="shared" ca="1" si="62"/>
        <v>8297076.3865364753</v>
      </c>
      <c r="M150" s="217">
        <f t="shared" si="63"/>
        <v>71.91666666666633</v>
      </c>
      <c r="N150" s="217">
        <f t="shared" ca="1" si="53"/>
        <v>0</v>
      </c>
      <c r="O150" s="216">
        <f t="shared" ca="1" si="64"/>
        <v>76363.675936010943</v>
      </c>
      <c r="P150" s="216">
        <f t="shared" ca="1" si="65"/>
        <v>9905711.8746174779</v>
      </c>
      <c r="R150" s="217">
        <f t="shared" si="66"/>
        <v>71.91666666666633</v>
      </c>
      <c r="S150" s="240">
        <f t="shared" ca="1" si="56"/>
        <v>62856.639291942876</v>
      </c>
      <c r="T150" s="240">
        <f t="shared" ca="1" si="67"/>
        <v>8297076.3865364753</v>
      </c>
      <c r="V150" s="217">
        <f t="shared" si="68"/>
        <v>71.91666666666633</v>
      </c>
      <c r="W150" s="217">
        <f t="shared" ca="1" si="69"/>
        <v>0</v>
      </c>
      <c r="X150" s="240">
        <f t="shared" ca="1" si="70"/>
        <v>76363.675936010943</v>
      </c>
      <c r="Y150" s="240">
        <f t="shared" ca="1" si="71"/>
        <v>9878702.9776821118</v>
      </c>
      <c r="AA150" s="217">
        <f t="shared" si="72"/>
        <v>71.91666666666633</v>
      </c>
      <c r="AB150" s="216">
        <f t="shared" ca="1" si="57"/>
        <v>62856.639291942876</v>
      </c>
      <c r="AC150" s="240">
        <f t="shared" ca="1" si="73"/>
        <v>8297076.3865364753</v>
      </c>
      <c r="AD150" s="216"/>
      <c r="AF150" s="210">
        <f>ROW()</f>
        <v>150</v>
      </c>
      <c r="AG150" s="217">
        <f t="shared" si="74"/>
        <v>71.91666666666633</v>
      </c>
      <c r="AH150" s="217">
        <f t="shared" ca="1" si="54"/>
        <v>0</v>
      </c>
      <c r="AI150" s="217">
        <f ca="1">IF(AH149&lt;&gt;0,FINANCIAMIENTO!$F$5,0)</f>
        <v>0</v>
      </c>
      <c r="AJ150" s="240" t="b">
        <f t="shared" ca="1" si="76"/>
        <v>0</v>
      </c>
      <c r="AK150" s="240">
        <f t="shared" ca="1" si="58"/>
        <v>0</v>
      </c>
      <c r="AL150" s="240">
        <f t="shared" ca="1" si="59"/>
        <v>76363.675936010943</v>
      </c>
      <c r="AM150" s="240">
        <f t="shared" ca="1" si="60"/>
        <v>76363.675936010943</v>
      </c>
      <c r="AN150" s="240">
        <f t="shared" ca="1" si="75"/>
        <v>9389070.4367403593</v>
      </c>
    </row>
    <row r="151" spans="9:40">
      <c r="I151" s="217">
        <f t="shared" si="61"/>
        <v>71.999999999999659</v>
      </c>
      <c r="J151" s="216">
        <f t="shared" ca="1" si="55"/>
        <v>62856.639291942876</v>
      </c>
      <c r="K151" s="216">
        <f t="shared" ca="1" si="62"/>
        <v>8359933.0258284183</v>
      </c>
      <c r="M151" s="217">
        <f t="shared" si="63"/>
        <v>71.999999999999659</v>
      </c>
      <c r="N151" s="217">
        <f t="shared" ca="1" si="53"/>
        <v>0</v>
      </c>
      <c r="O151" s="216">
        <f t="shared" ca="1" si="64"/>
        <v>76363.675936010943</v>
      </c>
      <c r="P151" s="216">
        <f t="shared" ca="1" si="65"/>
        <v>9982075.5505534895</v>
      </c>
      <c r="R151" s="217">
        <f t="shared" si="66"/>
        <v>71.999999999999659</v>
      </c>
      <c r="S151" s="240">
        <f t="shared" ca="1" si="56"/>
        <v>62856.639291942876</v>
      </c>
      <c r="T151" s="240">
        <f t="shared" ca="1" si="67"/>
        <v>8359933.0258284183</v>
      </c>
      <c r="V151" s="217">
        <f t="shared" si="68"/>
        <v>71.999999999999659</v>
      </c>
      <c r="W151" s="217">
        <f t="shared" ca="1" si="69"/>
        <v>0</v>
      </c>
      <c r="X151" s="240">
        <f t="shared" ca="1" si="70"/>
        <v>76363.675936010943</v>
      </c>
      <c r="Y151" s="240">
        <f t="shared" ca="1" si="71"/>
        <v>9955066.6536181234</v>
      </c>
      <c r="AA151" s="217">
        <f t="shared" si="72"/>
        <v>71.999999999999659</v>
      </c>
      <c r="AB151" s="216">
        <f t="shared" ca="1" si="57"/>
        <v>62856.639291942876</v>
      </c>
      <c r="AC151" s="240">
        <f t="shared" ca="1" si="73"/>
        <v>8359933.0258284183</v>
      </c>
      <c r="AD151" s="216"/>
      <c r="AF151" s="210">
        <f>ROW()</f>
        <v>151</v>
      </c>
      <c r="AG151" s="217">
        <f t="shared" si="74"/>
        <v>71.999999999999659</v>
      </c>
      <c r="AH151" s="217">
        <f t="shared" ca="1" si="54"/>
        <v>0</v>
      </c>
      <c r="AI151" s="217">
        <f ca="1">IF(AH150&lt;&gt;0,FINANCIAMIENTO!$F$5,0)</f>
        <v>0</v>
      </c>
      <c r="AJ151" s="240" t="b">
        <f t="shared" ca="1" si="76"/>
        <v>0</v>
      </c>
      <c r="AK151" s="240">
        <f t="shared" ca="1" si="58"/>
        <v>0</v>
      </c>
      <c r="AL151" s="240">
        <f t="shared" ca="1" si="59"/>
        <v>76363.675936010943</v>
      </c>
      <c r="AM151" s="240">
        <f t="shared" ca="1" si="60"/>
        <v>76363.675936010943</v>
      </c>
      <c r="AN151" s="240">
        <f t="shared" ca="1" si="75"/>
        <v>9465434.1126763709</v>
      </c>
    </row>
    <row r="152" spans="9:40">
      <c r="I152" s="217">
        <f t="shared" si="61"/>
        <v>72.083333333332988</v>
      </c>
      <c r="J152" s="216">
        <f t="shared" ca="1" si="55"/>
        <v>62856.639291942876</v>
      </c>
      <c r="K152" s="216">
        <f t="shared" ca="1" si="62"/>
        <v>8422789.6651203614</v>
      </c>
      <c r="M152" s="217">
        <f t="shared" si="63"/>
        <v>72.083333333332988</v>
      </c>
      <c r="N152" s="217">
        <f t="shared" ca="1" si="53"/>
        <v>0</v>
      </c>
      <c r="O152" s="216">
        <f t="shared" ca="1" si="64"/>
        <v>76363.675936010943</v>
      </c>
      <c r="P152" s="216">
        <f t="shared" ca="1" si="65"/>
        <v>10058439.226489501</v>
      </c>
      <c r="R152" s="217">
        <f t="shared" si="66"/>
        <v>72.083333333332988</v>
      </c>
      <c r="S152" s="240">
        <f t="shared" ca="1" si="56"/>
        <v>62856.639291942876</v>
      </c>
      <c r="T152" s="240">
        <f t="shared" ca="1" si="67"/>
        <v>8422789.6651203614</v>
      </c>
      <c r="V152" s="217">
        <f t="shared" si="68"/>
        <v>72.083333333332988</v>
      </c>
      <c r="W152" s="217">
        <f t="shared" ca="1" si="69"/>
        <v>0</v>
      </c>
      <c r="X152" s="240">
        <f t="shared" ca="1" si="70"/>
        <v>76363.675936010943</v>
      </c>
      <c r="Y152" s="240">
        <f t="shared" ca="1" si="71"/>
        <v>10031430.329554135</v>
      </c>
      <c r="AA152" s="217">
        <f t="shared" si="72"/>
        <v>72.083333333332988</v>
      </c>
      <c r="AB152" s="216">
        <f t="shared" ca="1" si="57"/>
        <v>62856.639291942876</v>
      </c>
      <c r="AC152" s="240">
        <f t="shared" ca="1" si="73"/>
        <v>8422789.6651203614</v>
      </c>
      <c r="AD152" s="216"/>
      <c r="AF152" s="210">
        <f>ROW()</f>
        <v>152</v>
      </c>
      <c r="AG152" s="217">
        <f t="shared" si="74"/>
        <v>72.083333333332988</v>
      </c>
      <c r="AH152" s="217">
        <f t="shared" ca="1" si="54"/>
        <v>0</v>
      </c>
      <c r="AI152" s="217">
        <f ca="1">IF(AH151&lt;&gt;0,FINANCIAMIENTO!$F$5,0)</f>
        <v>0</v>
      </c>
      <c r="AJ152" s="240" t="b">
        <f t="shared" ca="1" si="76"/>
        <v>0</v>
      </c>
      <c r="AK152" s="240">
        <f t="shared" ca="1" si="58"/>
        <v>0</v>
      </c>
      <c r="AL152" s="240">
        <f t="shared" ca="1" si="59"/>
        <v>76363.675936010943</v>
      </c>
      <c r="AM152" s="240">
        <f t="shared" ca="1" si="60"/>
        <v>76363.675936010943</v>
      </c>
      <c r="AN152" s="240">
        <f t="shared" ca="1" si="75"/>
        <v>9541797.7886123825</v>
      </c>
    </row>
    <row r="153" spans="9:40">
      <c r="I153" s="217">
        <f t="shared" si="61"/>
        <v>72.166666666666316</v>
      </c>
      <c r="J153" s="216">
        <f t="shared" ca="1" si="55"/>
        <v>62856.639291942876</v>
      </c>
      <c r="K153" s="216">
        <f t="shared" ca="1" si="62"/>
        <v>8485646.3044123035</v>
      </c>
      <c r="M153" s="217">
        <f t="shared" si="63"/>
        <v>72.166666666666316</v>
      </c>
      <c r="N153" s="217">
        <f t="shared" ca="1" si="53"/>
        <v>0</v>
      </c>
      <c r="O153" s="216">
        <f t="shared" ca="1" si="64"/>
        <v>76363.675936010943</v>
      </c>
      <c r="P153" s="216">
        <f t="shared" ca="1" si="65"/>
        <v>10134802.902425513</v>
      </c>
      <c r="R153" s="217">
        <f t="shared" si="66"/>
        <v>72.166666666666316</v>
      </c>
      <c r="S153" s="240">
        <f t="shared" ca="1" si="56"/>
        <v>62856.639291942876</v>
      </c>
      <c r="T153" s="240">
        <f t="shared" ca="1" si="67"/>
        <v>8485646.3044123035</v>
      </c>
      <c r="V153" s="217">
        <f t="shared" si="68"/>
        <v>72.166666666666316</v>
      </c>
      <c r="W153" s="217">
        <f t="shared" ca="1" si="69"/>
        <v>0</v>
      </c>
      <c r="X153" s="240">
        <f t="shared" ca="1" si="70"/>
        <v>76363.675936010943</v>
      </c>
      <c r="Y153" s="240">
        <f t="shared" ca="1" si="71"/>
        <v>10107794.005490147</v>
      </c>
      <c r="AA153" s="217">
        <f t="shared" si="72"/>
        <v>72.166666666666316</v>
      </c>
      <c r="AB153" s="216">
        <f t="shared" ca="1" si="57"/>
        <v>62856.639291942876</v>
      </c>
      <c r="AC153" s="240">
        <f t="shared" ca="1" si="73"/>
        <v>8485646.3044123035</v>
      </c>
      <c r="AD153" s="216"/>
      <c r="AF153" s="210">
        <f>ROW()</f>
        <v>153</v>
      </c>
      <c r="AG153" s="217">
        <f t="shared" si="74"/>
        <v>72.166666666666316</v>
      </c>
      <c r="AH153" s="217">
        <f t="shared" ca="1" si="54"/>
        <v>0</v>
      </c>
      <c r="AI153" s="217">
        <f ca="1">IF(AH152&lt;&gt;0,FINANCIAMIENTO!$F$5,0)</f>
        <v>0</v>
      </c>
      <c r="AJ153" s="240" t="b">
        <f t="shared" ca="1" si="76"/>
        <v>0</v>
      </c>
      <c r="AK153" s="240">
        <f t="shared" ca="1" si="58"/>
        <v>0</v>
      </c>
      <c r="AL153" s="240">
        <f t="shared" ca="1" si="59"/>
        <v>76363.675936010943</v>
      </c>
      <c r="AM153" s="240">
        <f t="shared" ca="1" si="60"/>
        <v>76363.675936010943</v>
      </c>
      <c r="AN153" s="240">
        <f t="shared" ca="1" si="75"/>
        <v>9618161.4645483941</v>
      </c>
    </row>
    <row r="154" spans="9:40">
      <c r="I154" s="217">
        <f t="shared" si="61"/>
        <v>72.249999999999645</v>
      </c>
      <c r="J154" s="216">
        <f t="shared" ca="1" si="55"/>
        <v>62856.639291942876</v>
      </c>
      <c r="K154" s="216">
        <f t="shared" ca="1" si="62"/>
        <v>8548502.9437042456</v>
      </c>
      <c r="M154" s="217">
        <f t="shared" si="63"/>
        <v>72.249999999999645</v>
      </c>
      <c r="N154" s="217">
        <f t="shared" ca="1" si="53"/>
        <v>0</v>
      </c>
      <c r="O154" s="216">
        <f t="shared" ca="1" si="64"/>
        <v>76363.675936010943</v>
      </c>
      <c r="P154" s="216">
        <f t="shared" ca="1" si="65"/>
        <v>10211166.578361524</v>
      </c>
      <c r="R154" s="217">
        <f t="shared" si="66"/>
        <v>72.249999999999645</v>
      </c>
      <c r="S154" s="240">
        <f t="shared" ca="1" si="56"/>
        <v>62856.639291942876</v>
      </c>
      <c r="T154" s="240">
        <f t="shared" ca="1" si="67"/>
        <v>8548502.9437042456</v>
      </c>
      <c r="V154" s="217">
        <f t="shared" si="68"/>
        <v>72.249999999999645</v>
      </c>
      <c r="W154" s="217">
        <f t="shared" ca="1" si="69"/>
        <v>0</v>
      </c>
      <c r="X154" s="240">
        <f t="shared" ca="1" si="70"/>
        <v>76363.675936010943</v>
      </c>
      <c r="Y154" s="240">
        <f t="shared" ca="1" si="71"/>
        <v>10184157.681426158</v>
      </c>
      <c r="AA154" s="217">
        <f t="shared" si="72"/>
        <v>72.249999999999645</v>
      </c>
      <c r="AB154" s="216">
        <f t="shared" ca="1" si="57"/>
        <v>62856.639291942876</v>
      </c>
      <c r="AC154" s="240">
        <f t="shared" ca="1" si="73"/>
        <v>8548502.9437042456</v>
      </c>
      <c r="AD154" s="216"/>
      <c r="AF154" s="210">
        <f>ROW()</f>
        <v>154</v>
      </c>
      <c r="AG154" s="217">
        <f t="shared" si="74"/>
        <v>72.249999999999645</v>
      </c>
      <c r="AH154" s="217">
        <f t="shared" ca="1" si="54"/>
        <v>0</v>
      </c>
      <c r="AI154" s="217">
        <f ca="1">IF(AH153&lt;&gt;0,FINANCIAMIENTO!$F$5,0)</f>
        <v>0</v>
      </c>
      <c r="AJ154" s="240" t="b">
        <f t="shared" ca="1" si="76"/>
        <v>0</v>
      </c>
      <c r="AK154" s="240">
        <f t="shared" ca="1" si="58"/>
        <v>0</v>
      </c>
      <c r="AL154" s="240">
        <f t="shared" ca="1" si="59"/>
        <v>76363.675936010943</v>
      </c>
      <c r="AM154" s="240">
        <f t="shared" ca="1" si="60"/>
        <v>76363.675936010943</v>
      </c>
      <c r="AN154" s="240">
        <f t="shared" ca="1" si="75"/>
        <v>9694525.1404844057</v>
      </c>
    </row>
    <row r="155" spans="9:40">
      <c r="I155" s="217">
        <f t="shared" si="61"/>
        <v>72.333333333332973</v>
      </c>
      <c r="J155" s="216">
        <f t="shared" ca="1" si="55"/>
        <v>62856.639291942876</v>
      </c>
      <c r="K155" s="216">
        <f t="shared" ca="1" si="62"/>
        <v>8611359.5829961877</v>
      </c>
      <c r="M155" s="217">
        <f t="shared" si="63"/>
        <v>72.333333333332973</v>
      </c>
      <c r="N155" s="217">
        <f t="shared" ca="1" si="53"/>
        <v>0</v>
      </c>
      <c r="O155" s="216">
        <f t="shared" ca="1" si="64"/>
        <v>76363.675936010943</v>
      </c>
      <c r="P155" s="216">
        <f t="shared" ca="1" si="65"/>
        <v>10287530.254297536</v>
      </c>
      <c r="R155" s="217">
        <f t="shared" si="66"/>
        <v>72.333333333332973</v>
      </c>
      <c r="S155" s="240">
        <f t="shared" ca="1" si="56"/>
        <v>62856.639291942876</v>
      </c>
      <c r="T155" s="240">
        <f t="shared" ca="1" si="67"/>
        <v>8611359.5829961877</v>
      </c>
      <c r="V155" s="217">
        <f t="shared" si="68"/>
        <v>72.333333333332973</v>
      </c>
      <c r="W155" s="217">
        <f t="shared" ca="1" si="69"/>
        <v>0</v>
      </c>
      <c r="X155" s="240">
        <f t="shared" ca="1" si="70"/>
        <v>76363.675936010943</v>
      </c>
      <c r="Y155" s="240">
        <f t="shared" ca="1" si="71"/>
        <v>10260521.35736217</v>
      </c>
      <c r="AA155" s="217">
        <f t="shared" si="72"/>
        <v>72.333333333332973</v>
      </c>
      <c r="AB155" s="216">
        <f t="shared" ca="1" si="57"/>
        <v>62856.639291942876</v>
      </c>
      <c r="AC155" s="240">
        <f t="shared" ca="1" si="73"/>
        <v>8611359.5829961877</v>
      </c>
      <c r="AD155" s="216"/>
      <c r="AF155" s="210">
        <f>ROW()</f>
        <v>155</v>
      </c>
      <c r="AG155" s="217">
        <f t="shared" si="74"/>
        <v>72.333333333332973</v>
      </c>
      <c r="AH155" s="217">
        <f t="shared" ca="1" si="54"/>
        <v>0</v>
      </c>
      <c r="AI155" s="217">
        <f ca="1">IF(AH154&lt;&gt;0,FINANCIAMIENTO!$F$5,0)</f>
        <v>0</v>
      </c>
      <c r="AJ155" s="240" t="b">
        <f t="shared" ca="1" si="76"/>
        <v>0</v>
      </c>
      <c r="AK155" s="240">
        <f t="shared" ca="1" si="58"/>
        <v>0</v>
      </c>
      <c r="AL155" s="240">
        <f t="shared" ca="1" si="59"/>
        <v>76363.675936010943</v>
      </c>
      <c r="AM155" s="240">
        <f t="shared" ca="1" si="60"/>
        <v>76363.675936010943</v>
      </c>
      <c r="AN155" s="240">
        <f t="shared" ca="1" si="75"/>
        <v>9770888.8164204173</v>
      </c>
    </row>
    <row r="156" spans="9:40">
      <c r="I156" s="217">
        <f t="shared" si="61"/>
        <v>72.416666666666302</v>
      </c>
      <c r="J156" s="216">
        <f t="shared" ca="1" si="55"/>
        <v>62856.639291942876</v>
      </c>
      <c r="K156" s="216">
        <f t="shared" ca="1" si="62"/>
        <v>8674216.2222881299</v>
      </c>
      <c r="M156" s="217">
        <f t="shared" si="63"/>
        <v>72.416666666666302</v>
      </c>
      <c r="N156" s="217">
        <f t="shared" ca="1" si="53"/>
        <v>0</v>
      </c>
      <c r="O156" s="216">
        <f t="shared" ca="1" si="64"/>
        <v>76363.675936010943</v>
      </c>
      <c r="P156" s="216">
        <f t="shared" ca="1" si="65"/>
        <v>10363893.930233547</v>
      </c>
      <c r="R156" s="217">
        <f t="shared" si="66"/>
        <v>72.416666666666302</v>
      </c>
      <c r="S156" s="240">
        <f t="shared" ca="1" si="56"/>
        <v>62856.639291942876</v>
      </c>
      <c r="T156" s="240">
        <f t="shared" ca="1" si="67"/>
        <v>8674216.2222881299</v>
      </c>
      <c r="V156" s="217">
        <f t="shared" si="68"/>
        <v>72.416666666666302</v>
      </c>
      <c r="W156" s="217">
        <f t="shared" ca="1" si="69"/>
        <v>0</v>
      </c>
      <c r="X156" s="240">
        <f t="shared" ca="1" si="70"/>
        <v>76363.675936010943</v>
      </c>
      <c r="Y156" s="240">
        <f t="shared" ca="1" si="71"/>
        <v>10336885.033298181</v>
      </c>
      <c r="AA156" s="217">
        <f t="shared" si="72"/>
        <v>72.416666666666302</v>
      </c>
      <c r="AB156" s="216">
        <f t="shared" ca="1" si="57"/>
        <v>62856.639291942876</v>
      </c>
      <c r="AC156" s="240">
        <f t="shared" ca="1" si="73"/>
        <v>8674216.2222881299</v>
      </c>
      <c r="AD156" s="216"/>
      <c r="AF156" s="210">
        <f>ROW()</f>
        <v>156</v>
      </c>
      <c r="AG156" s="217">
        <f t="shared" si="74"/>
        <v>72.416666666666302</v>
      </c>
      <c r="AH156" s="217">
        <f t="shared" ca="1" si="54"/>
        <v>0</v>
      </c>
      <c r="AI156" s="217">
        <f ca="1">IF(AH155&lt;&gt;0,FINANCIAMIENTO!$F$5,0)</f>
        <v>0</v>
      </c>
      <c r="AJ156" s="240" t="b">
        <f t="shared" ca="1" si="76"/>
        <v>0</v>
      </c>
      <c r="AK156" s="240">
        <f t="shared" ca="1" si="58"/>
        <v>0</v>
      </c>
      <c r="AL156" s="240">
        <f t="shared" ca="1" si="59"/>
        <v>76363.675936010943</v>
      </c>
      <c r="AM156" s="240">
        <f t="shared" ca="1" si="60"/>
        <v>76363.675936010943</v>
      </c>
      <c r="AN156" s="240">
        <f t="shared" ca="1" si="75"/>
        <v>9847252.4923564289</v>
      </c>
    </row>
    <row r="157" spans="9:40">
      <c r="I157" s="217">
        <f t="shared" si="61"/>
        <v>72.499999999999631</v>
      </c>
      <c r="J157" s="216">
        <f t="shared" ca="1" si="55"/>
        <v>62856.639291942876</v>
      </c>
      <c r="K157" s="216">
        <f t="shared" ca="1" si="62"/>
        <v>8737072.861580072</v>
      </c>
      <c r="M157" s="217">
        <f t="shared" si="63"/>
        <v>72.499999999999631</v>
      </c>
      <c r="N157" s="217">
        <f t="shared" ca="1" si="53"/>
        <v>0</v>
      </c>
      <c r="O157" s="216">
        <f t="shared" ca="1" si="64"/>
        <v>76363.675936010943</v>
      </c>
      <c r="P157" s="216">
        <f t="shared" ca="1" si="65"/>
        <v>10440257.606169559</v>
      </c>
      <c r="R157" s="217">
        <f t="shared" si="66"/>
        <v>72.499999999999631</v>
      </c>
      <c r="S157" s="240">
        <f t="shared" ca="1" si="56"/>
        <v>62856.639291942876</v>
      </c>
      <c r="T157" s="240">
        <f t="shared" ca="1" si="67"/>
        <v>8737072.861580072</v>
      </c>
      <c r="V157" s="217">
        <f t="shared" si="68"/>
        <v>72.499999999999631</v>
      </c>
      <c r="W157" s="217">
        <f t="shared" ca="1" si="69"/>
        <v>0</v>
      </c>
      <c r="X157" s="240">
        <f t="shared" ca="1" si="70"/>
        <v>76363.675936010943</v>
      </c>
      <c r="Y157" s="240">
        <f t="shared" ca="1" si="71"/>
        <v>10413248.709234193</v>
      </c>
      <c r="AA157" s="217">
        <f t="shared" si="72"/>
        <v>72.499999999999631</v>
      </c>
      <c r="AB157" s="216">
        <f t="shared" ca="1" si="57"/>
        <v>62856.639291942876</v>
      </c>
      <c r="AC157" s="240">
        <f t="shared" ca="1" si="73"/>
        <v>8737072.861580072</v>
      </c>
      <c r="AD157" s="216"/>
      <c r="AF157" s="210">
        <f>ROW()</f>
        <v>157</v>
      </c>
      <c r="AG157" s="217">
        <f t="shared" si="74"/>
        <v>72.499999999999631</v>
      </c>
      <c r="AH157" s="217">
        <f t="shared" ca="1" si="54"/>
        <v>0</v>
      </c>
      <c r="AI157" s="217">
        <f ca="1">IF(AH156&lt;&gt;0,FINANCIAMIENTO!$F$5,0)</f>
        <v>0</v>
      </c>
      <c r="AJ157" s="240" t="b">
        <f t="shared" ca="1" si="76"/>
        <v>0</v>
      </c>
      <c r="AK157" s="240">
        <f t="shared" ca="1" si="58"/>
        <v>0</v>
      </c>
      <c r="AL157" s="240">
        <f t="shared" ca="1" si="59"/>
        <v>76363.675936010943</v>
      </c>
      <c r="AM157" s="240">
        <f t="shared" ca="1" si="60"/>
        <v>76363.675936010943</v>
      </c>
      <c r="AN157" s="240">
        <f t="shared" ca="1" si="75"/>
        <v>9923616.1682924405</v>
      </c>
    </row>
    <row r="158" spans="9:40">
      <c r="I158" s="217">
        <f t="shared" si="61"/>
        <v>72.583333333332959</v>
      </c>
      <c r="J158" s="216">
        <f t="shared" ca="1" si="55"/>
        <v>62856.639291942876</v>
      </c>
      <c r="K158" s="216">
        <f t="shared" ca="1" si="62"/>
        <v>8799929.5008720141</v>
      </c>
      <c r="M158" s="217">
        <f t="shared" si="63"/>
        <v>72.583333333332959</v>
      </c>
      <c r="N158" s="217">
        <f t="shared" ca="1" si="53"/>
        <v>0</v>
      </c>
      <c r="O158" s="216">
        <f t="shared" ca="1" si="64"/>
        <v>76363.675936010943</v>
      </c>
      <c r="P158" s="216">
        <f t="shared" ca="1" si="65"/>
        <v>10516621.282105571</v>
      </c>
      <c r="R158" s="217">
        <f t="shared" si="66"/>
        <v>72.583333333332959</v>
      </c>
      <c r="S158" s="240">
        <f t="shared" ca="1" si="56"/>
        <v>62856.639291942876</v>
      </c>
      <c r="T158" s="240">
        <f t="shared" ca="1" si="67"/>
        <v>8799929.5008720141</v>
      </c>
      <c r="V158" s="217">
        <f t="shared" si="68"/>
        <v>72.583333333332959</v>
      </c>
      <c r="W158" s="217">
        <f t="shared" ca="1" si="69"/>
        <v>0</v>
      </c>
      <c r="X158" s="240">
        <f t="shared" ca="1" si="70"/>
        <v>76363.675936010943</v>
      </c>
      <c r="Y158" s="240">
        <f t="shared" ca="1" si="71"/>
        <v>10489612.385170205</v>
      </c>
      <c r="AA158" s="217">
        <f t="shared" si="72"/>
        <v>72.583333333332959</v>
      </c>
      <c r="AB158" s="216">
        <f t="shared" ca="1" si="57"/>
        <v>62856.639291942876</v>
      </c>
      <c r="AC158" s="240">
        <f t="shared" ca="1" si="73"/>
        <v>8799929.5008720141</v>
      </c>
      <c r="AD158" s="216"/>
      <c r="AF158" s="210">
        <f>ROW()</f>
        <v>158</v>
      </c>
      <c r="AG158" s="217">
        <f t="shared" si="74"/>
        <v>72.583333333332959</v>
      </c>
      <c r="AH158" s="217">
        <f t="shared" ca="1" si="54"/>
        <v>0</v>
      </c>
      <c r="AI158" s="217">
        <f ca="1">IF(AH157&lt;&gt;0,FINANCIAMIENTO!$F$5,0)</f>
        <v>0</v>
      </c>
      <c r="AJ158" s="240" t="b">
        <f t="shared" ca="1" si="76"/>
        <v>0</v>
      </c>
      <c r="AK158" s="240">
        <f t="shared" ca="1" si="58"/>
        <v>0</v>
      </c>
      <c r="AL158" s="240">
        <f t="shared" ca="1" si="59"/>
        <v>76363.675936010943</v>
      </c>
      <c r="AM158" s="240">
        <f t="shared" ca="1" si="60"/>
        <v>76363.675936010943</v>
      </c>
      <c r="AN158" s="240">
        <f t="shared" ca="1" si="75"/>
        <v>9999979.8442284521</v>
      </c>
    </row>
    <row r="159" spans="9:40">
      <c r="I159" s="217">
        <f t="shared" si="61"/>
        <v>72.666666666666288</v>
      </c>
      <c r="J159" s="216">
        <f t="shared" ca="1" si="55"/>
        <v>62856.639291942876</v>
      </c>
      <c r="K159" s="216">
        <f t="shared" ca="1" si="62"/>
        <v>8862786.1401639562</v>
      </c>
      <c r="M159" s="217">
        <f t="shared" si="63"/>
        <v>72.666666666666288</v>
      </c>
      <c r="N159" s="217">
        <f t="shared" ca="1" si="53"/>
        <v>0</v>
      </c>
      <c r="O159" s="216">
        <f t="shared" ca="1" si="64"/>
        <v>76363.675936010943</v>
      </c>
      <c r="P159" s="216">
        <f t="shared" ca="1" si="65"/>
        <v>10592984.958041582</v>
      </c>
      <c r="R159" s="217">
        <f t="shared" si="66"/>
        <v>72.666666666666288</v>
      </c>
      <c r="S159" s="240">
        <f t="shared" ca="1" si="56"/>
        <v>62856.639291942876</v>
      </c>
      <c r="T159" s="240">
        <f t="shared" ca="1" si="67"/>
        <v>8862786.1401639562</v>
      </c>
      <c r="V159" s="217">
        <f t="shared" si="68"/>
        <v>72.666666666666288</v>
      </c>
      <c r="W159" s="217">
        <f t="shared" ca="1" si="69"/>
        <v>0</v>
      </c>
      <c r="X159" s="240">
        <f t="shared" ca="1" si="70"/>
        <v>76363.675936010943</v>
      </c>
      <c r="Y159" s="240">
        <f t="shared" ca="1" si="71"/>
        <v>10565976.061106216</v>
      </c>
      <c r="AA159" s="217">
        <f t="shared" si="72"/>
        <v>72.666666666666288</v>
      </c>
      <c r="AB159" s="216">
        <f t="shared" ca="1" si="57"/>
        <v>62856.639291942876</v>
      </c>
      <c r="AC159" s="240">
        <f t="shared" ca="1" si="73"/>
        <v>8862786.1401639562</v>
      </c>
      <c r="AD159" s="216"/>
      <c r="AF159" s="210">
        <f>ROW()</f>
        <v>159</v>
      </c>
      <c r="AG159" s="217">
        <f t="shared" si="74"/>
        <v>72.666666666666288</v>
      </c>
      <c r="AH159" s="217">
        <f t="shared" ca="1" si="54"/>
        <v>0</v>
      </c>
      <c r="AI159" s="217">
        <f ca="1">IF(AH158&lt;&gt;0,FINANCIAMIENTO!$F$5,0)</f>
        <v>0</v>
      </c>
      <c r="AJ159" s="240" t="b">
        <f t="shared" ca="1" si="76"/>
        <v>0</v>
      </c>
      <c r="AK159" s="240">
        <f t="shared" ca="1" si="58"/>
        <v>0</v>
      </c>
      <c r="AL159" s="240">
        <f t="shared" ca="1" si="59"/>
        <v>76363.675936010943</v>
      </c>
      <c r="AM159" s="240">
        <f t="shared" ca="1" si="60"/>
        <v>76363.675936010943</v>
      </c>
      <c r="AN159" s="240">
        <f t="shared" ca="1" si="75"/>
        <v>10076343.520164464</v>
      </c>
    </row>
    <row r="160" spans="9:40">
      <c r="I160" s="217">
        <f t="shared" si="61"/>
        <v>72.749999999999616</v>
      </c>
      <c r="J160" s="216">
        <f t="shared" ca="1" si="55"/>
        <v>62856.639291942876</v>
      </c>
      <c r="K160" s="216">
        <f t="shared" ca="1" si="62"/>
        <v>8925642.7794558983</v>
      </c>
      <c r="M160" s="217">
        <f t="shared" si="63"/>
        <v>72.749999999999616</v>
      </c>
      <c r="N160" s="217">
        <f t="shared" ca="1" si="53"/>
        <v>0</v>
      </c>
      <c r="O160" s="216">
        <f t="shared" ca="1" si="64"/>
        <v>76363.675936010943</v>
      </c>
      <c r="P160" s="216">
        <f t="shared" ca="1" si="65"/>
        <v>10669348.633977594</v>
      </c>
      <c r="R160" s="217">
        <f t="shared" si="66"/>
        <v>72.749999999999616</v>
      </c>
      <c r="S160" s="240">
        <f t="shared" ca="1" si="56"/>
        <v>62856.639291942876</v>
      </c>
      <c r="T160" s="240">
        <f t="shared" ca="1" si="67"/>
        <v>8925642.7794558983</v>
      </c>
      <c r="V160" s="217">
        <f t="shared" si="68"/>
        <v>72.749999999999616</v>
      </c>
      <c r="W160" s="217">
        <f t="shared" ca="1" si="69"/>
        <v>0</v>
      </c>
      <c r="X160" s="240">
        <f t="shared" ca="1" si="70"/>
        <v>76363.675936010943</v>
      </c>
      <c r="Y160" s="240">
        <f t="shared" ca="1" si="71"/>
        <v>10642339.737042228</v>
      </c>
      <c r="AA160" s="217">
        <f t="shared" si="72"/>
        <v>72.749999999999616</v>
      </c>
      <c r="AB160" s="216">
        <f t="shared" ca="1" si="57"/>
        <v>62856.639291942876</v>
      </c>
      <c r="AC160" s="240">
        <f t="shared" ca="1" si="73"/>
        <v>8925642.7794558983</v>
      </c>
      <c r="AD160" s="216"/>
      <c r="AF160" s="210">
        <f>ROW()</f>
        <v>160</v>
      </c>
      <c r="AG160" s="217">
        <f t="shared" si="74"/>
        <v>72.749999999999616</v>
      </c>
      <c r="AH160" s="217">
        <f t="shared" ca="1" si="54"/>
        <v>0</v>
      </c>
      <c r="AI160" s="217">
        <f ca="1">IF(AH159&lt;&gt;0,FINANCIAMIENTO!$F$5,0)</f>
        <v>0</v>
      </c>
      <c r="AJ160" s="240" t="b">
        <f t="shared" ca="1" si="76"/>
        <v>0</v>
      </c>
      <c r="AK160" s="240">
        <f t="shared" ca="1" si="58"/>
        <v>0</v>
      </c>
      <c r="AL160" s="240">
        <f t="shared" ca="1" si="59"/>
        <v>76363.675936010943</v>
      </c>
      <c r="AM160" s="240">
        <f t="shared" ca="1" si="60"/>
        <v>76363.675936010943</v>
      </c>
      <c r="AN160" s="240">
        <f t="shared" ca="1" si="75"/>
        <v>10152707.196100475</v>
      </c>
    </row>
    <row r="161" spans="9:40">
      <c r="I161" s="217">
        <f t="shared" si="61"/>
        <v>72.833333333332945</v>
      </c>
      <c r="J161" s="216">
        <f t="shared" ca="1" si="55"/>
        <v>62856.639291942876</v>
      </c>
      <c r="K161" s="216">
        <f t="shared" ca="1" si="62"/>
        <v>8988499.4187478404</v>
      </c>
      <c r="M161" s="217">
        <f t="shared" si="63"/>
        <v>72.833333333332945</v>
      </c>
      <c r="N161" s="217">
        <f t="shared" ca="1" si="53"/>
        <v>0</v>
      </c>
      <c r="O161" s="216">
        <f t="shared" ca="1" si="64"/>
        <v>76363.675936010943</v>
      </c>
      <c r="P161" s="216">
        <f t="shared" ca="1" si="65"/>
        <v>10745712.309913605</v>
      </c>
      <c r="R161" s="217">
        <f t="shared" si="66"/>
        <v>72.833333333332945</v>
      </c>
      <c r="S161" s="240">
        <f t="shared" ca="1" si="56"/>
        <v>62856.639291942876</v>
      </c>
      <c r="T161" s="240">
        <f t="shared" ca="1" si="67"/>
        <v>8988499.4187478404</v>
      </c>
      <c r="V161" s="217">
        <f t="shared" si="68"/>
        <v>72.833333333332945</v>
      </c>
      <c r="W161" s="217">
        <f t="shared" ca="1" si="69"/>
        <v>0</v>
      </c>
      <c r="X161" s="240">
        <f t="shared" ca="1" si="70"/>
        <v>76363.675936010943</v>
      </c>
      <c r="Y161" s="240">
        <f t="shared" ca="1" si="71"/>
        <v>10718703.412978239</v>
      </c>
      <c r="AA161" s="217">
        <f t="shared" si="72"/>
        <v>72.833333333332945</v>
      </c>
      <c r="AB161" s="216">
        <f t="shared" ca="1" si="57"/>
        <v>62856.639291942876</v>
      </c>
      <c r="AC161" s="240">
        <f t="shared" ca="1" si="73"/>
        <v>8988499.4187478404</v>
      </c>
      <c r="AD161" s="216"/>
      <c r="AF161" s="210">
        <f>ROW()</f>
        <v>161</v>
      </c>
      <c r="AG161" s="217">
        <f t="shared" si="74"/>
        <v>72.833333333332945</v>
      </c>
      <c r="AH161" s="217">
        <f t="shared" ca="1" si="54"/>
        <v>0</v>
      </c>
      <c r="AI161" s="217">
        <f ca="1">IF(AH160&lt;&gt;0,FINANCIAMIENTO!$F$5,0)</f>
        <v>0</v>
      </c>
      <c r="AJ161" s="240" t="b">
        <f t="shared" ca="1" si="76"/>
        <v>0</v>
      </c>
      <c r="AK161" s="240">
        <f t="shared" ca="1" si="58"/>
        <v>0</v>
      </c>
      <c r="AL161" s="240">
        <f t="shared" ca="1" si="59"/>
        <v>76363.675936010943</v>
      </c>
      <c r="AM161" s="240">
        <f t="shared" ca="1" si="60"/>
        <v>76363.675936010943</v>
      </c>
      <c r="AN161" s="240">
        <f t="shared" ca="1" si="75"/>
        <v>10229070.872036487</v>
      </c>
    </row>
    <row r="162" spans="9:40">
      <c r="I162" s="217">
        <f t="shared" si="61"/>
        <v>72.916666666666273</v>
      </c>
      <c r="J162" s="216">
        <f t="shared" ca="1" si="55"/>
        <v>62856.639291942876</v>
      </c>
      <c r="K162" s="216">
        <f t="shared" ca="1" si="62"/>
        <v>9051356.0580397826</v>
      </c>
      <c r="M162" s="217">
        <f t="shared" si="63"/>
        <v>72.916666666666273</v>
      </c>
      <c r="N162" s="217">
        <f t="shared" ca="1" si="53"/>
        <v>0</v>
      </c>
      <c r="O162" s="216">
        <f t="shared" ca="1" si="64"/>
        <v>76363.675936010943</v>
      </c>
      <c r="P162" s="216">
        <f t="shared" ca="1" si="65"/>
        <v>10822075.985849617</v>
      </c>
      <c r="R162" s="217">
        <f t="shared" si="66"/>
        <v>72.916666666666273</v>
      </c>
      <c r="S162" s="240">
        <f t="shared" ca="1" si="56"/>
        <v>62856.639291942876</v>
      </c>
      <c r="T162" s="240">
        <f t="shared" ca="1" si="67"/>
        <v>9051356.0580397826</v>
      </c>
      <c r="V162" s="217">
        <f t="shared" si="68"/>
        <v>72.916666666666273</v>
      </c>
      <c r="W162" s="217">
        <f t="shared" ca="1" si="69"/>
        <v>0</v>
      </c>
      <c r="X162" s="240">
        <f t="shared" ca="1" si="70"/>
        <v>76363.675936010943</v>
      </c>
      <c r="Y162" s="240">
        <f t="shared" ca="1" si="71"/>
        <v>10795067.088914251</v>
      </c>
      <c r="AA162" s="217">
        <f t="shared" si="72"/>
        <v>72.916666666666273</v>
      </c>
      <c r="AB162" s="216">
        <f t="shared" ca="1" si="57"/>
        <v>62856.639291942876</v>
      </c>
      <c r="AC162" s="240">
        <f t="shared" ca="1" si="73"/>
        <v>9051356.0580397826</v>
      </c>
      <c r="AD162" s="216"/>
      <c r="AF162" s="210">
        <f>ROW()</f>
        <v>162</v>
      </c>
      <c r="AG162" s="217">
        <f t="shared" si="74"/>
        <v>72.916666666666273</v>
      </c>
      <c r="AH162" s="217">
        <f t="shared" ca="1" si="54"/>
        <v>0</v>
      </c>
      <c r="AI162" s="217">
        <f ca="1">IF(AH161&lt;&gt;0,FINANCIAMIENTO!$F$5,0)</f>
        <v>0</v>
      </c>
      <c r="AJ162" s="240" t="b">
        <f t="shared" ca="1" si="76"/>
        <v>0</v>
      </c>
      <c r="AK162" s="240">
        <f t="shared" ca="1" si="58"/>
        <v>0</v>
      </c>
      <c r="AL162" s="240">
        <f t="shared" ca="1" si="59"/>
        <v>76363.675936010943</v>
      </c>
      <c r="AM162" s="240">
        <f t="shared" ca="1" si="60"/>
        <v>76363.675936010943</v>
      </c>
      <c r="AN162" s="240">
        <f t="shared" ca="1" si="75"/>
        <v>10305434.547972498</v>
      </c>
    </row>
    <row r="163" spans="9:40">
      <c r="I163" s="217">
        <f t="shared" si="61"/>
        <v>72.999999999999602</v>
      </c>
      <c r="J163" s="216">
        <f t="shared" ca="1" si="55"/>
        <v>62856.639291942876</v>
      </c>
      <c r="K163" s="216">
        <f t="shared" ca="1" si="62"/>
        <v>9114212.6973317247</v>
      </c>
      <c r="M163" s="217">
        <f t="shared" si="63"/>
        <v>72.999999999999602</v>
      </c>
      <c r="N163" s="217">
        <f t="shared" ca="1" si="53"/>
        <v>0</v>
      </c>
      <c r="O163" s="216">
        <f t="shared" ca="1" si="64"/>
        <v>76363.675936010943</v>
      </c>
      <c r="P163" s="216">
        <f t="shared" ca="1" si="65"/>
        <v>10898439.661785629</v>
      </c>
      <c r="R163" s="217">
        <f t="shared" si="66"/>
        <v>72.999999999999602</v>
      </c>
      <c r="S163" s="240">
        <f t="shared" ca="1" si="56"/>
        <v>62856.639291942876</v>
      </c>
      <c r="T163" s="240">
        <f t="shared" ca="1" si="67"/>
        <v>9114212.6973317247</v>
      </c>
      <c r="V163" s="217">
        <f t="shared" si="68"/>
        <v>72.999999999999602</v>
      </c>
      <c r="W163" s="217">
        <f t="shared" ca="1" si="69"/>
        <v>0</v>
      </c>
      <c r="X163" s="240">
        <f t="shared" ca="1" si="70"/>
        <v>76363.675936010943</v>
      </c>
      <c r="Y163" s="240">
        <f t="shared" ca="1" si="71"/>
        <v>10871430.764850263</v>
      </c>
      <c r="AA163" s="217">
        <f t="shared" si="72"/>
        <v>72.999999999999602</v>
      </c>
      <c r="AB163" s="216">
        <f t="shared" ca="1" si="57"/>
        <v>62856.639291942876</v>
      </c>
      <c r="AC163" s="240">
        <f t="shared" ca="1" si="73"/>
        <v>9114212.6973317247</v>
      </c>
      <c r="AD163" s="216"/>
      <c r="AF163" s="210">
        <f>ROW()</f>
        <v>163</v>
      </c>
      <c r="AG163" s="217">
        <f t="shared" si="74"/>
        <v>72.999999999999602</v>
      </c>
      <c r="AH163" s="217">
        <f t="shared" ca="1" si="54"/>
        <v>0</v>
      </c>
      <c r="AI163" s="217">
        <f ca="1">IF(AH162&lt;&gt;0,FINANCIAMIENTO!$F$5,0)</f>
        <v>0</v>
      </c>
      <c r="AJ163" s="240" t="b">
        <f t="shared" ca="1" si="76"/>
        <v>0</v>
      </c>
      <c r="AK163" s="240">
        <f t="shared" ca="1" si="58"/>
        <v>0</v>
      </c>
      <c r="AL163" s="240">
        <f t="shared" ca="1" si="59"/>
        <v>76363.675936010943</v>
      </c>
      <c r="AM163" s="240">
        <f t="shared" ca="1" si="60"/>
        <v>76363.675936010943</v>
      </c>
      <c r="AN163" s="240">
        <f t="shared" ca="1" si="75"/>
        <v>10381798.22390851</v>
      </c>
    </row>
    <row r="164" spans="9:40">
      <c r="I164" s="217">
        <f t="shared" si="61"/>
        <v>73.083333333332931</v>
      </c>
      <c r="J164" s="216">
        <f t="shared" ca="1" si="55"/>
        <v>62856.639291942876</v>
      </c>
      <c r="K164" s="216">
        <f t="shared" ca="1" si="62"/>
        <v>9177069.3366236668</v>
      </c>
      <c r="M164" s="217">
        <f t="shared" si="63"/>
        <v>73.083333333332931</v>
      </c>
      <c r="N164" s="217">
        <f t="shared" ca="1" si="53"/>
        <v>0</v>
      </c>
      <c r="O164" s="216">
        <f t="shared" ca="1" si="64"/>
        <v>76363.675936010943</v>
      </c>
      <c r="P164" s="216">
        <f t="shared" ca="1" si="65"/>
        <v>10974803.33772164</v>
      </c>
      <c r="R164" s="217">
        <f t="shared" si="66"/>
        <v>73.083333333332931</v>
      </c>
      <c r="S164" s="240">
        <f t="shared" ca="1" si="56"/>
        <v>62856.639291942876</v>
      </c>
      <c r="T164" s="240">
        <f t="shared" ca="1" si="67"/>
        <v>9177069.3366236668</v>
      </c>
      <c r="V164" s="217">
        <f t="shared" si="68"/>
        <v>73.083333333332931</v>
      </c>
      <c r="W164" s="217">
        <f t="shared" ca="1" si="69"/>
        <v>0</v>
      </c>
      <c r="X164" s="240">
        <f t="shared" ca="1" si="70"/>
        <v>76363.675936010943</v>
      </c>
      <c r="Y164" s="240">
        <f t="shared" ca="1" si="71"/>
        <v>10947794.440786274</v>
      </c>
      <c r="AA164" s="217">
        <f t="shared" si="72"/>
        <v>73.083333333332931</v>
      </c>
      <c r="AB164" s="216">
        <f t="shared" ca="1" si="57"/>
        <v>62856.639291942876</v>
      </c>
      <c r="AC164" s="240">
        <f t="shared" ca="1" si="73"/>
        <v>9177069.3366236668</v>
      </c>
      <c r="AD164" s="216"/>
      <c r="AF164" s="210">
        <f>ROW()</f>
        <v>164</v>
      </c>
      <c r="AG164" s="217">
        <f t="shared" si="74"/>
        <v>73.083333333332931</v>
      </c>
      <c r="AH164" s="217">
        <f t="shared" ca="1" si="54"/>
        <v>0</v>
      </c>
      <c r="AI164" s="217">
        <f ca="1">IF(AH163&lt;&gt;0,FINANCIAMIENTO!$F$5,0)</f>
        <v>0</v>
      </c>
      <c r="AJ164" s="240" t="b">
        <f t="shared" ca="1" si="76"/>
        <v>0</v>
      </c>
      <c r="AK164" s="240">
        <f t="shared" ca="1" si="58"/>
        <v>0</v>
      </c>
      <c r="AL164" s="240">
        <f t="shared" ca="1" si="59"/>
        <v>76363.675936010943</v>
      </c>
      <c r="AM164" s="240">
        <f t="shared" ca="1" si="60"/>
        <v>76363.675936010943</v>
      </c>
      <c r="AN164" s="240">
        <f t="shared" ca="1" si="75"/>
        <v>10458161.899844522</v>
      </c>
    </row>
    <row r="165" spans="9:40">
      <c r="I165" s="217">
        <f t="shared" si="61"/>
        <v>73.166666666666259</v>
      </c>
      <c r="J165" s="216">
        <f t="shared" ca="1" si="55"/>
        <v>62856.639291942876</v>
      </c>
      <c r="K165" s="216">
        <f t="shared" ca="1" si="62"/>
        <v>9239925.9759156089</v>
      </c>
      <c r="M165" s="217">
        <f t="shared" si="63"/>
        <v>73.166666666666259</v>
      </c>
      <c r="N165" s="217">
        <f t="shared" ca="1" si="53"/>
        <v>0</v>
      </c>
      <c r="O165" s="216">
        <f t="shared" ca="1" si="64"/>
        <v>76363.675936010943</v>
      </c>
      <c r="P165" s="216">
        <f t="shared" ca="1" si="65"/>
        <v>11051167.013657652</v>
      </c>
      <c r="R165" s="217">
        <f t="shared" si="66"/>
        <v>73.166666666666259</v>
      </c>
      <c r="S165" s="240">
        <f t="shared" ca="1" si="56"/>
        <v>62856.639291942876</v>
      </c>
      <c r="T165" s="240">
        <f t="shared" ca="1" si="67"/>
        <v>9239925.9759156089</v>
      </c>
      <c r="V165" s="217">
        <f t="shared" si="68"/>
        <v>73.166666666666259</v>
      </c>
      <c r="W165" s="217">
        <f t="shared" ca="1" si="69"/>
        <v>0</v>
      </c>
      <c r="X165" s="240">
        <f t="shared" ca="1" si="70"/>
        <v>76363.675936010943</v>
      </c>
      <c r="Y165" s="240">
        <f t="shared" ca="1" si="71"/>
        <v>11024158.116722286</v>
      </c>
      <c r="AA165" s="217">
        <f t="shared" si="72"/>
        <v>73.166666666666259</v>
      </c>
      <c r="AB165" s="216">
        <f t="shared" ca="1" si="57"/>
        <v>62856.639291942876</v>
      </c>
      <c r="AC165" s="240">
        <f t="shared" ca="1" si="73"/>
        <v>9239925.9759156089</v>
      </c>
      <c r="AD165" s="216"/>
      <c r="AF165" s="210">
        <f>ROW()</f>
        <v>165</v>
      </c>
      <c r="AG165" s="217">
        <f t="shared" si="74"/>
        <v>73.166666666666259</v>
      </c>
      <c r="AH165" s="217">
        <f t="shared" ca="1" si="54"/>
        <v>0</v>
      </c>
      <c r="AI165" s="217">
        <f ca="1">IF(AH164&lt;&gt;0,FINANCIAMIENTO!$F$5,0)</f>
        <v>0</v>
      </c>
      <c r="AJ165" s="240" t="b">
        <f t="shared" ca="1" si="76"/>
        <v>0</v>
      </c>
      <c r="AK165" s="240">
        <f t="shared" ca="1" si="58"/>
        <v>0</v>
      </c>
      <c r="AL165" s="240">
        <f t="shared" ca="1" si="59"/>
        <v>76363.675936010943</v>
      </c>
      <c r="AM165" s="240">
        <f t="shared" ca="1" si="60"/>
        <v>76363.675936010943</v>
      </c>
      <c r="AN165" s="240">
        <f t="shared" ca="1" si="75"/>
        <v>10534525.575780533</v>
      </c>
    </row>
    <row r="166" spans="9:40">
      <c r="I166" s="217">
        <f t="shared" si="61"/>
        <v>73.249999999999588</v>
      </c>
      <c r="J166" s="216">
        <f t="shared" ca="1" si="55"/>
        <v>62856.639291942876</v>
      </c>
      <c r="K166" s="216">
        <f t="shared" ca="1" si="62"/>
        <v>9302782.615207551</v>
      </c>
      <c r="M166" s="217">
        <f t="shared" si="63"/>
        <v>73.249999999999588</v>
      </c>
      <c r="N166" s="217">
        <f t="shared" ref="N166:N187" ca="1" si="77">+IF(AND($N$3&gt;=M167-0.02,$N$3&lt;=M167+0.02),$N$4,0)</f>
        <v>0</v>
      </c>
      <c r="O166" s="216">
        <f t="shared" ca="1" si="64"/>
        <v>76363.675936010943</v>
      </c>
      <c r="P166" s="216">
        <f t="shared" ca="1" si="65"/>
        <v>11127530.689593663</v>
      </c>
      <c r="R166" s="217">
        <f t="shared" si="66"/>
        <v>73.249999999999588</v>
      </c>
      <c r="S166" s="240">
        <f t="shared" ca="1" si="56"/>
        <v>62856.639291942876</v>
      </c>
      <c r="T166" s="240">
        <f t="shared" ca="1" si="67"/>
        <v>9302782.615207551</v>
      </c>
      <c r="V166" s="217">
        <f t="shared" si="68"/>
        <v>73.249999999999588</v>
      </c>
      <c r="W166" s="217">
        <f t="shared" ca="1" si="69"/>
        <v>0</v>
      </c>
      <c r="X166" s="240">
        <f t="shared" ca="1" si="70"/>
        <v>76363.675936010943</v>
      </c>
      <c r="Y166" s="240">
        <f t="shared" ca="1" si="71"/>
        <v>11100521.792658297</v>
      </c>
      <c r="AA166" s="217">
        <f t="shared" si="72"/>
        <v>73.249999999999588</v>
      </c>
      <c r="AB166" s="216">
        <f t="shared" ca="1" si="57"/>
        <v>62856.639291942876</v>
      </c>
      <c r="AC166" s="240">
        <f t="shared" ca="1" si="73"/>
        <v>9302782.615207551</v>
      </c>
      <c r="AD166" s="216"/>
      <c r="AF166" s="210">
        <f>ROW()</f>
        <v>166</v>
      </c>
      <c r="AG166" s="217">
        <f t="shared" si="74"/>
        <v>73.249999999999588</v>
      </c>
      <c r="AH166" s="217">
        <f t="shared" ca="1" si="54"/>
        <v>0</v>
      </c>
      <c r="AI166" s="217">
        <f ca="1">IF(AH165&lt;&gt;0,FINANCIAMIENTO!$F$5,0)</f>
        <v>0</v>
      </c>
      <c r="AJ166" s="240" t="b">
        <f t="shared" ca="1" si="76"/>
        <v>0</v>
      </c>
      <c r="AK166" s="240">
        <f t="shared" ca="1" si="58"/>
        <v>0</v>
      </c>
      <c r="AL166" s="240">
        <f t="shared" ca="1" si="59"/>
        <v>76363.675936010943</v>
      </c>
      <c r="AM166" s="240">
        <f t="shared" ca="1" si="60"/>
        <v>76363.675936010943</v>
      </c>
      <c r="AN166" s="240">
        <f t="shared" ca="1" si="75"/>
        <v>10610889.251716545</v>
      </c>
    </row>
    <row r="167" spans="9:40">
      <c r="I167" s="217">
        <f t="shared" si="61"/>
        <v>73.333333333332916</v>
      </c>
      <c r="J167" s="216">
        <f t="shared" ca="1" si="55"/>
        <v>62856.639291942876</v>
      </c>
      <c r="K167" s="216">
        <f t="shared" ca="1" si="62"/>
        <v>9365639.2544994932</v>
      </c>
      <c r="M167" s="217">
        <f t="shared" si="63"/>
        <v>73.333333333332916</v>
      </c>
      <c r="N167" s="217">
        <f t="shared" ca="1" si="77"/>
        <v>0</v>
      </c>
      <c r="O167" s="216">
        <f t="shared" ca="1" si="64"/>
        <v>76363.675936010943</v>
      </c>
      <c r="P167" s="216">
        <f t="shared" ca="1" si="65"/>
        <v>11203894.365529675</v>
      </c>
      <c r="R167" s="217">
        <f t="shared" si="66"/>
        <v>73.333333333332916</v>
      </c>
      <c r="S167" s="240">
        <f t="shared" ca="1" si="56"/>
        <v>62856.639291942876</v>
      </c>
      <c r="T167" s="240">
        <f t="shared" ca="1" si="67"/>
        <v>9365639.2544994932</v>
      </c>
      <c r="V167" s="217">
        <f t="shared" si="68"/>
        <v>73.333333333332916</v>
      </c>
      <c r="W167" s="217">
        <f t="shared" ca="1" si="69"/>
        <v>0</v>
      </c>
      <c r="X167" s="240">
        <f t="shared" ca="1" si="70"/>
        <v>76363.675936010943</v>
      </c>
      <c r="Y167" s="240">
        <f t="shared" ca="1" si="71"/>
        <v>11176885.468594309</v>
      </c>
      <c r="AA167" s="217">
        <f t="shared" si="72"/>
        <v>73.333333333332916</v>
      </c>
      <c r="AB167" s="216">
        <f t="shared" ca="1" si="57"/>
        <v>62856.639291942876</v>
      </c>
      <c r="AC167" s="240">
        <f t="shared" ca="1" si="73"/>
        <v>9365639.2544994932</v>
      </c>
      <c r="AD167" s="216"/>
      <c r="AF167" s="210">
        <f>ROW()</f>
        <v>167</v>
      </c>
      <c r="AG167" s="217">
        <f t="shared" si="74"/>
        <v>73.333333333332916</v>
      </c>
      <c r="AH167" s="217">
        <f t="shared" ref="AH167:AH185" ca="1" si="78">+IF(AND($AH$3&gt;=AG168-0.02,$N$3&lt;=AG168+0.02),$AH$4,0)</f>
        <v>0</v>
      </c>
      <c r="AI167" s="217">
        <f ca="1">IF(AH166&lt;&gt;0,FINANCIAMIENTO!$F$5,0)</f>
        <v>0</v>
      </c>
      <c r="AJ167" s="240" t="b">
        <f t="shared" ca="1" si="76"/>
        <v>0</v>
      </c>
      <c r="AK167" s="240">
        <f t="shared" ca="1" si="58"/>
        <v>0</v>
      </c>
      <c r="AL167" s="240">
        <f t="shared" ca="1" si="59"/>
        <v>76363.675936010943</v>
      </c>
      <c r="AM167" s="240">
        <f t="shared" ca="1" si="60"/>
        <v>76363.675936010943</v>
      </c>
      <c r="AN167" s="240">
        <f t="shared" ca="1" si="75"/>
        <v>10687252.927652556</v>
      </c>
    </row>
    <row r="168" spans="9:40">
      <c r="I168" s="217">
        <f t="shared" si="61"/>
        <v>73.416666666666245</v>
      </c>
      <c r="J168" s="216">
        <f t="shared" ca="1" si="55"/>
        <v>62856.639291942876</v>
      </c>
      <c r="K168" s="216">
        <f t="shared" ca="1" si="62"/>
        <v>9428495.8937914353</v>
      </c>
      <c r="M168" s="217">
        <f t="shared" si="63"/>
        <v>73.416666666666245</v>
      </c>
      <c r="N168" s="217">
        <f t="shared" ca="1" si="77"/>
        <v>0</v>
      </c>
      <c r="O168" s="216">
        <f t="shared" ca="1" si="64"/>
        <v>76363.675936010943</v>
      </c>
      <c r="P168" s="216">
        <f t="shared" ca="1" si="65"/>
        <v>11280258.041465687</v>
      </c>
      <c r="R168" s="217">
        <f t="shared" si="66"/>
        <v>73.416666666666245</v>
      </c>
      <c r="S168" s="240">
        <f t="shared" ca="1" si="56"/>
        <v>62856.639291942876</v>
      </c>
      <c r="T168" s="240">
        <f t="shared" ca="1" si="67"/>
        <v>9428495.8937914353</v>
      </c>
      <c r="V168" s="217">
        <f t="shared" si="68"/>
        <v>73.416666666666245</v>
      </c>
      <c r="W168" s="217">
        <f t="shared" ca="1" si="69"/>
        <v>0</v>
      </c>
      <c r="X168" s="240">
        <f t="shared" ca="1" si="70"/>
        <v>76363.675936010943</v>
      </c>
      <c r="Y168" s="240">
        <f t="shared" ca="1" si="71"/>
        <v>11253249.144530321</v>
      </c>
      <c r="AA168" s="217">
        <f t="shared" si="72"/>
        <v>73.416666666666245</v>
      </c>
      <c r="AB168" s="216">
        <f t="shared" ca="1" si="57"/>
        <v>62856.639291942876</v>
      </c>
      <c r="AC168" s="240">
        <f t="shared" ca="1" si="73"/>
        <v>9428495.8937914353</v>
      </c>
      <c r="AD168" s="216"/>
      <c r="AF168" s="210">
        <f>ROW()</f>
        <v>168</v>
      </c>
      <c r="AG168" s="217">
        <f t="shared" si="74"/>
        <v>73.416666666666245</v>
      </c>
      <c r="AH168" s="217">
        <f t="shared" ca="1" si="78"/>
        <v>0</v>
      </c>
      <c r="AI168" s="217">
        <f ca="1">IF(AH167&lt;&gt;0,FINANCIAMIENTO!$F$5,0)</f>
        <v>0</v>
      </c>
      <c r="AJ168" s="240" t="b">
        <f t="shared" ca="1" si="76"/>
        <v>0</v>
      </c>
      <c r="AK168" s="240">
        <f t="shared" ca="1" si="58"/>
        <v>0</v>
      </c>
      <c r="AL168" s="240">
        <f t="shared" ca="1" si="59"/>
        <v>76363.675936010943</v>
      </c>
      <c r="AM168" s="240">
        <f t="shared" ca="1" si="60"/>
        <v>76363.675936010943</v>
      </c>
      <c r="AN168" s="240">
        <f t="shared" ca="1" si="75"/>
        <v>10763616.603588568</v>
      </c>
    </row>
    <row r="169" spans="9:40">
      <c r="I169" s="217">
        <f t="shared" si="61"/>
        <v>73.499999999999574</v>
      </c>
      <c r="J169" s="216">
        <f t="shared" ca="1" si="55"/>
        <v>62856.639291942876</v>
      </c>
      <c r="K169" s="216">
        <f t="shared" ca="1" si="62"/>
        <v>9491352.5330833774</v>
      </c>
      <c r="M169" s="217">
        <f t="shared" si="63"/>
        <v>73.499999999999574</v>
      </c>
      <c r="N169" s="217">
        <f t="shared" ca="1" si="77"/>
        <v>0</v>
      </c>
      <c r="O169" s="216">
        <f t="shared" ca="1" si="64"/>
        <v>76363.675936010943</v>
      </c>
      <c r="P169" s="216">
        <f t="shared" ca="1" si="65"/>
        <v>11356621.717401698</v>
      </c>
      <c r="R169" s="217">
        <f t="shared" si="66"/>
        <v>73.499999999999574</v>
      </c>
      <c r="S169" s="240">
        <f t="shared" ca="1" si="56"/>
        <v>62856.639291942876</v>
      </c>
      <c r="T169" s="240">
        <f t="shared" ca="1" si="67"/>
        <v>9491352.5330833774</v>
      </c>
      <c r="V169" s="217">
        <f t="shared" si="68"/>
        <v>73.499999999999574</v>
      </c>
      <c r="W169" s="217">
        <f t="shared" ca="1" si="69"/>
        <v>0</v>
      </c>
      <c r="X169" s="240">
        <f t="shared" ca="1" si="70"/>
        <v>76363.675936010943</v>
      </c>
      <c r="Y169" s="240">
        <f t="shared" ca="1" si="71"/>
        <v>11329612.820466332</v>
      </c>
      <c r="AA169" s="217">
        <f t="shared" si="72"/>
        <v>73.499999999999574</v>
      </c>
      <c r="AB169" s="216">
        <f t="shared" ca="1" si="57"/>
        <v>62856.639291942876</v>
      </c>
      <c r="AC169" s="240">
        <f t="shared" ca="1" si="73"/>
        <v>9491352.5330833774</v>
      </c>
      <c r="AD169" s="216"/>
      <c r="AF169" s="210">
        <f>ROW()</f>
        <v>169</v>
      </c>
      <c r="AG169" s="217">
        <f t="shared" si="74"/>
        <v>73.499999999999574</v>
      </c>
      <c r="AH169" s="217">
        <f t="shared" ca="1" si="78"/>
        <v>0</v>
      </c>
      <c r="AI169" s="217">
        <f ca="1">IF(AH168&lt;&gt;0,FINANCIAMIENTO!$F$5,0)</f>
        <v>0</v>
      </c>
      <c r="AJ169" s="240" t="b">
        <f t="shared" ca="1" si="76"/>
        <v>0</v>
      </c>
      <c r="AK169" s="240">
        <f t="shared" ca="1" si="58"/>
        <v>0</v>
      </c>
      <c r="AL169" s="240">
        <f t="shared" ca="1" si="59"/>
        <v>76363.675936010943</v>
      </c>
      <c r="AM169" s="240">
        <f t="shared" ca="1" si="60"/>
        <v>76363.675936010943</v>
      </c>
      <c r="AN169" s="240">
        <f t="shared" ca="1" si="75"/>
        <v>10839980.27952458</v>
      </c>
    </row>
    <row r="170" spans="9:40">
      <c r="I170" s="217">
        <f t="shared" si="61"/>
        <v>73.583333333332902</v>
      </c>
      <c r="J170" s="216">
        <f t="shared" ca="1" si="55"/>
        <v>62856.639291942876</v>
      </c>
      <c r="K170" s="216">
        <f t="shared" ca="1" si="62"/>
        <v>9554209.1723753195</v>
      </c>
      <c r="M170" s="217">
        <f t="shared" si="63"/>
        <v>73.583333333332902</v>
      </c>
      <c r="N170" s="217">
        <f t="shared" ca="1" si="77"/>
        <v>0</v>
      </c>
      <c r="O170" s="216">
        <f t="shared" ca="1" si="64"/>
        <v>76363.675936010943</v>
      </c>
      <c r="P170" s="216">
        <f t="shared" ca="1" si="65"/>
        <v>11432985.39333771</v>
      </c>
      <c r="R170" s="217">
        <f t="shared" si="66"/>
        <v>73.583333333332902</v>
      </c>
      <c r="S170" s="240">
        <f t="shared" ca="1" si="56"/>
        <v>62856.639291942876</v>
      </c>
      <c r="T170" s="240">
        <f t="shared" ca="1" si="67"/>
        <v>9554209.1723753195</v>
      </c>
      <c r="V170" s="217">
        <f t="shared" si="68"/>
        <v>73.583333333332902</v>
      </c>
      <c r="W170" s="217">
        <f t="shared" ca="1" si="69"/>
        <v>0</v>
      </c>
      <c r="X170" s="240">
        <f t="shared" ca="1" si="70"/>
        <v>76363.675936010943</v>
      </c>
      <c r="Y170" s="240">
        <f t="shared" ca="1" si="71"/>
        <v>11405976.496402344</v>
      </c>
      <c r="AA170" s="217">
        <f t="shared" si="72"/>
        <v>73.583333333332902</v>
      </c>
      <c r="AB170" s="216">
        <f t="shared" ca="1" si="57"/>
        <v>62856.639291942876</v>
      </c>
      <c r="AC170" s="240">
        <f t="shared" ca="1" si="73"/>
        <v>9554209.1723753195</v>
      </c>
      <c r="AD170" s="216"/>
      <c r="AF170" s="210">
        <f>ROW()</f>
        <v>170</v>
      </c>
      <c r="AG170" s="217">
        <f t="shared" si="74"/>
        <v>73.583333333332902</v>
      </c>
      <c r="AH170" s="217">
        <f t="shared" ca="1" si="78"/>
        <v>0</v>
      </c>
      <c r="AI170" s="217">
        <f ca="1">IF(AH169&lt;&gt;0,FINANCIAMIENTO!$F$5,0)</f>
        <v>0</v>
      </c>
      <c r="AJ170" s="240" t="b">
        <f t="shared" ca="1" si="76"/>
        <v>0</v>
      </c>
      <c r="AK170" s="240">
        <f t="shared" ca="1" si="58"/>
        <v>0</v>
      </c>
      <c r="AL170" s="240">
        <f t="shared" ca="1" si="59"/>
        <v>76363.675936010943</v>
      </c>
      <c r="AM170" s="240">
        <f t="shared" ca="1" si="60"/>
        <v>76363.675936010943</v>
      </c>
      <c r="AN170" s="240">
        <f t="shared" ca="1" si="75"/>
        <v>10916343.955460591</v>
      </c>
    </row>
    <row r="171" spans="9:40">
      <c r="I171" s="217">
        <f t="shared" si="61"/>
        <v>73.666666666666231</v>
      </c>
      <c r="J171" s="216">
        <f t="shared" ca="1" si="55"/>
        <v>62856.639291942876</v>
      </c>
      <c r="K171" s="216">
        <f t="shared" ca="1" si="62"/>
        <v>9617065.8116672616</v>
      </c>
      <c r="M171" s="217">
        <f t="shared" si="63"/>
        <v>73.666666666666231</v>
      </c>
      <c r="N171" s="217">
        <f t="shared" ca="1" si="77"/>
        <v>0</v>
      </c>
      <c r="O171" s="216">
        <f t="shared" ca="1" si="64"/>
        <v>76363.675936010943</v>
      </c>
      <c r="P171" s="216">
        <f t="shared" ca="1" si="65"/>
        <v>11509349.069273721</v>
      </c>
      <c r="R171" s="217">
        <f t="shared" si="66"/>
        <v>73.666666666666231</v>
      </c>
      <c r="S171" s="240">
        <f t="shared" ca="1" si="56"/>
        <v>62856.639291942876</v>
      </c>
      <c r="T171" s="240">
        <f t="shared" ca="1" si="67"/>
        <v>9617065.8116672616</v>
      </c>
      <c r="V171" s="217">
        <f t="shared" si="68"/>
        <v>73.666666666666231</v>
      </c>
      <c r="W171" s="217">
        <f t="shared" ca="1" si="69"/>
        <v>0</v>
      </c>
      <c r="X171" s="240">
        <f t="shared" ca="1" si="70"/>
        <v>76363.675936010943</v>
      </c>
      <c r="Y171" s="240">
        <f t="shared" ca="1" si="71"/>
        <v>11482340.172338355</v>
      </c>
      <c r="AA171" s="217">
        <f t="shared" si="72"/>
        <v>73.666666666666231</v>
      </c>
      <c r="AB171" s="216">
        <f t="shared" ca="1" si="57"/>
        <v>62856.639291942876</v>
      </c>
      <c r="AC171" s="240">
        <f t="shared" ca="1" si="73"/>
        <v>9617065.8116672616</v>
      </c>
      <c r="AD171" s="216"/>
      <c r="AF171" s="210">
        <f>ROW()</f>
        <v>171</v>
      </c>
      <c r="AG171" s="217">
        <f t="shared" si="74"/>
        <v>73.666666666666231</v>
      </c>
      <c r="AH171" s="217">
        <f t="shared" ca="1" si="78"/>
        <v>0</v>
      </c>
      <c r="AI171" s="217">
        <f ca="1">IF(AH170&lt;&gt;0,FINANCIAMIENTO!$F$5,0)</f>
        <v>0</v>
      </c>
      <c r="AJ171" s="240" t="b">
        <f t="shared" ca="1" si="76"/>
        <v>0</v>
      </c>
      <c r="AK171" s="240">
        <f t="shared" ca="1" si="58"/>
        <v>0</v>
      </c>
      <c r="AL171" s="240">
        <f t="shared" ca="1" si="59"/>
        <v>76363.675936010943</v>
      </c>
      <c r="AM171" s="240">
        <f t="shared" ca="1" si="60"/>
        <v>76363.675936010943</v>
      </c>
      <c r="AN171" s="240">
        <f t="shared" ca="1" si="75"/>
        <v>10992707.631396603</v>
      </c>
    </row>
    <row r="172" spans="9:40">
      <c r="I172" s="217">
        <f t="shared" si="61"/>
        <v>73.749999999999559</v>
      </c>
      <c r="J172" s="216">
        <f t="shared" ca="1" si="55"/>
        <v>62856.639291942876</v>
      </c>
      <c r="K172" s="216">
        <f t="shared" ca="1" si="62"/>
        <v>9679922.4509592038</v>
      </c>
      <c r="M172" s="217">
        <f t="shared" si="63"/>
        <v>73.749999999999559</v>
      </c>
      <c r="N172" s="217">
        <f t="shared" ca="1" si="77"/>
        <v>0</v>
      </c>
      <c r="O172" s="216">
        <f t="shared" ca="1" si="64"/>
        <v>76363.675936010943</v>
      </c>
      <c r="P172" s="216">
        <f t="shared" ca="1" si="65"/>
        <v>11585712.745209733</v>
      </c>
      <c r="R172" s="217">
        <f t="shared" si="66"/>
        <v>73.749999999999559</v>
      </c>
      <c r="S172" s="240">
        <f t="shared" ca="1" si="56"/>
        <v>62856.639291942876</v>
      </c>
      <c r="T172" s="240">
        <f t="shared" ca="1" si="67"/>
        <v>9679922.4509592038</v>
      </c>
      <c r="V172" s="217">
        <f t="shared" si="68"/>
        <v>73.749999999999559</v>
      </c>
      <c r="W172" s="217">
        <f t="shared" ca="1" si="69"/>
        <v>0</v>
      </c>
      <c r="X172" s="240">
        <f t="shared" ca="1" si="70"/>
        <v>76363.675936010943</v>
      </c>
      <c r="Y172" s="240">
        <f t="shared" ca="1" si="71"/>
        <v>11558703.848274367</v>
      </c>
      <c r="AA172" s="217">
        <f t="shared" si="72"/>
        <v>73.749999999999559</v>
      </c>
      <c r="AB172" s="216">
        <f t="shared" ca="1" si="57"/>
        <v>62856.639291942876</v>
      </c>
      <c r="AC172" s="240">
        <f t="shared" ca="1" si="73"/>
        <v>9679922.4509592038</v>
      </c>
      <c r="AD172" s="216"/>
      <c r="AF172" s="210">
        <f>ROW()</f>
        <v>172</v>
      </c>
      <c r="AG172" s="217">
        <f t="shared" si="74"/>
        <v>73.749999999999559</v>
      </c>
      <c r="AH172" s="217">
        <f t="shared" ca="1" si="78"/>
        <v>0</v>
      </c>
      <c r="AI172" s="217">
        <f ca="1">IF(AH171&lt;&gt;0,FINANCIAMIENTO!$F$5,0)</f>
        <v>0</v>
      </c>
      <c r="AJ172" s="240" t="b">
        <f t="shared" ca="1" si="76"/>
        <v>0</v>
      </c>
      <c r="AK172" s="240">
        <f t="shared" ca="1" si="58"/>
        <v>0</v>
      </c>
      <c r="AL172" s="240">
        <f t="shared" ca="1" si="59"/>
        <v>76363.675936010943</v>
      </c>
      <c r="AM172" s="240">
        <f t="shared" ca="1" si="60"/>
        <v>76363.675936010943</v>
      </c>
      <c r="AN172" s="240">
        <f t="shared" ca="1" si="75"/>
        <v>11069071.307332614</v>
      </c>
    </row>
    <row r="173" spans="9:40">
      <c r="I173" s="217">
        <f t="shared" si="61"/>
        <v>73.833333333332888</v>
      </c>
      <c r="J173" s="216">
        <f t="shared" ca="1" si="55"/>
        <v>62856.639291942876</v>
      </c>
      <c r="K173" s="216">
        <f t="shared" ca="1" si="62"/>
        <v>9742779.0902511459</v>
      </c>
      <c r="M173" s="217">
        <f t="shared" si="63"/>
        <v>73.833333333332888</v>
      </c>
      <c r="N173" s="217">
        <f t="shared" ca="1" si="77"/>
        <v>0</v>
      </c>
      <c r="O173" s="216">
        <f t="shared" ca="1" si="64"/>
        <v>76363.675936010943</v>
      </c>
      <c r="P173" s="216">
        <f t="shared" ca="1" si="65"/>
        <v>11662076.421145745</v>
      </c>
      <c r="R173" s="217">
        <f t="shared" si="66"/>
        <v>73.833333333332888</v>
      </c>
      <c r="S173" s="240">
        <f t="shared" ca="1" si="56"/>
        <v>62856.639291942876</v>
      </c>
      <c r="T173" s="240">
        <f t="shared" ca="1" si="67"/>
        <v>9742779.0902511459</v>
      </c>
      <c r="V173" s="217">
        <f t="shared" si="68"/>
        <v>73.833333333332888</v>
      </c>
      <c r="W173" s="217">
        <f t="shared" ca="1" si="69"/>
        <v>0</v>
      </c>
      <c r="X173" s="240">
        <f t="shared" ca="1" si="70"/>
        <v>76363.675936010943</v>
      </c>
      <c r="Y173" s="240">
        <f t="shared" ca="1" si="71"/>
        <v>11635067.524210379</v>
      </c>
      <c r="AA173" s="217">
        <f t="shared" si="72"/>
        <v>73.833333333332888</v>
      </c>
      <c r="AB173" s="216">
        <f t="shared" ca="1" si="57"/>
        <v>62856.639291942876</v>
      </c>
      <c r="AC173" s="240">
        <f t="shared" ca="1" si="73"/>
        <v>9742779.0902511459</v>
      </c>
      <c r="AD173" s="216"/>
      <c r="AF173" s="210">
        <f>ROW()</f>
        <v>173</v>
      </c>
      <c r="AG173" s="217">
        <f t="shared" si="74"/>
        <v>73.833333333332888</v>
      </c>
      <c r="AH173" s="217">
        <f t="shared" ca="1" si="78"/>
        <v>0</v>
      </c>
      <c r="AI173" s="217">
        <f ca="1">IF(AH172&lt;&gt;0,FINANCIAMIENTO!$F$5,0)</f>
        <v>0</v>
      </c>
      <c r="AJ173" s="240" t="b">
        <f t="shared" ca="1" si="76"/>
        <v>0</v>
      </c>
      <c r="AK173" s="240">
        <f t="shared" ca="1" si="58"/>
        <v>0</v>
      </c>
      <c r="AL173" s="240">
        <f t="shared" ca="1" si="59"/>
        <v>76363.675936010943</v>
      </c>
      <c r="AM173" s="240">
        <f t="shared" ca="1" si="60"/>
        <v>76363.675936010943</v>
      </c>
      <c r="AN173" s="240">
        <f t="shared" ca="1" si="75"/>
        <v>11145434.983268626</v>
      </c>
    </row>
    <row r="174" spans="9:40">
      <c r="I174" s="217">
        <f t="shared" si="61"/>
        <v>73.916666666666217</v>
      </c>
      <c r="J174" s="216">
        <f t="shared" ca="1" si="55"/>
        <v>62856.639291942876</v>
      </c>
      <c r="K174" s="216">
        <f t="shared" ca="1" si="62"/>
        <v>9805635.729543088</v>
      </c>
      <c r="M174" s="217">
        <f t="shared" si="63"/>
        <v>73.916666666666217</v>
      </c>
      <c r="N174" s="217">
        <f t="shared" ca="1" si="77"/>
        <v>0</v>
      </c>
      <c r="O174" s="216">
        <f t="shared" ca="1" si="64"/>
        <v>76363.675936010943</v>
      </c>
      <c r="P174" s="216">
        <f t="shared" ca="1" si="65"/>
        <v>11738440.097081756</v>
      </c>
      <c r="R174" s="217">
        <f t="shared" si="66"/>
        <v>73.916666666666217</v>
      </c>
      <c r="S174" s="240">
        <f t="shared" ca="1" si="56"/>
        <v>62856.639291942876</v>
      </c>
      <c r="T174" s="240">
        <f t="shared" ca="1" si="67"/>
        <v>9805635.729543088</v>
      </c>
      <c r="V174" s="217">
        <f t="shared" si="68"/>
        <v>73.916666666666217</v>
      </c>
      <c r="W174" s="217">
        <f t="shared" ca="1" si="69"/>
        <v>0</v>
      </c>
      <c r="X174" s="240">
        <f t="shared" ca="1" si="70"/>
        <v>76363.675936010943</v>
      </c>
      <c r="Y174" s="240">
        <f t="shared" ca="1" si="71"/>
        <v>11711431.20014639</v>
      </c>
      <c r="AA174" s="217">
        <f t="shared" si="72"/>
        <v>73.916666666666217</v>
      </c>
      <c r="AB174" s="216">
        <f t="shared" ca="1" si="57"/>
        <v>62856.639291942876</v>
      </c>
      <c r="AC174" s="240">
        <f t="shared" ca="1" si="73"/>
        <v>9805635.729543088</v>
      </c>
      <c r="AD174" s="216"/>
      <c r="AF174" s="210">
        <f>ROW()</f>
        <v>174</v>
      </c>
      <c r="AG174" s="217">
        <f t="shared" si="74"/>
        <v>73.916666666666217</v>
      </c>
      <c r="AH174" s="217">
        <f t="shared" ca="1" si="78"/>
        <v>0</v>
      </c>
      <c r="AI174" s="217">
        <f ca="1">IF(AH173&lt;&gt;0,FINANCIAMIENTO!$F$5,0)</f>
        <v>0</v>
      </c>
      <c r="AJ174" s="240" t="b">
        <f t="shared" ca="1" si="76"/>
        <v>0</v>
      </c>
      <c r="AK174" s="240">
        <f t="shared" ca="1" si="58"/>
        <v>0</v>
      </c>
      <c r="AL174" s="240">
        <f t="shared" ca="1" si="59"/>
        <v>76363.675936010943</v>
      </c>
      <c r="AM174" s="240">
        <f t="shared" ca="1" si="60"/>
        <v>76363.675936010943</v>
      </c>
      <c r="AN174" s="240">
        <f t="shared" ca="1" si="75"/>
        <v>11221798.659204638</v>
      </c>
    </row>
    <row r="175" spans="9:40">
      <c r="I175" s="217">
        <f t="shared" si="61"/>
        <v>73.999999999999545</v>
      </c>
      <c r="J175" s="216">
        <f t="shared" ca="1" si="55"/>
        <v>62856.639291942876</v>
      </c>
      <c r="K175" s="216">
        <f t="shared" ca="1" si="62"/>
        <v>9868492.3688350301</v>
      </c>
      <c r="M175" s="217">
        <f t="shared" si="63"/>
        <v>73.999999999999545</v>
      </c>
      <c r="N175" s="217">
        <f t="shared" ca="1" si="77"/>
        <v>0</v>
      </c>
      <c r="O175" s="216">
        <f t="shared" ca="1" si="64"/>
        <v>76363.675936010943</v>
      </c>
      <c r="P175" s="216">
        <f t="shared" ca="1" si="65"/>
        <v>11814803.773017768</v>
      </c>
      <c r="R175" s="217">
        <f t="shared" si="66"/>
        <v>73.999999999999545</v>
      </c>
      <c r="S175" s="240">
        <f t="shared" ca="1" si="56"/>
        <v>62856.639291942876</v>
      </c>
      <c r="T175" s="240">
        <f t="shared" ca="1" si="67"/>
        <v>9868492.3688350301</v>
      </c>
      <c r="V175" s="217">
        <f t="shared" si="68"/>
        <v>73.999999999999545</v>
      </c>
      <c r="W175" s="217">
        <f t="shared" ca="1" si="69"/>
        <v>0</v>
      </c>
      <c r="X175" s="240">
        <f t="shared" ca="1" si="70"/>
        <v>76363.675936010943</v>
      </c>
      <c r="Y175" s="240">
        <f t="shared" ca="1" si="71"/>
        <v>11787794.876082402</v>
      </c>
      <c r="AA175" s="217">
        <f t="shared" si="72"/>
        <v>73.999999999999545</v>
      </c>
      <c r="AB175" s="216">
        <f t="shared" ca="1" si="57"/>
        <v>62856.639291942876</v>
      </c>
      <c r="AC175" s="240">
        <f t="shared" ca="1" si="73"/>
        <v>9868492.3688350301</v>
      </c>
      <c r="AD175" s="216"/>
      <c r="AF175" s="210">
        <f>ROW()</f>
        <v>175</v>
      </c>
      <c r="AG175" s="217">
        <f t="shared" si="74"/>
        <v>73.999999999999545</v>
      </c>
      <c r="AH175" s="217">
        <f t="shared" ca="1" si="78"/>
        <v>0</v>
      </c>
      <c r="AI175" s="217">
        <f ca="1">IF(AH174&lt;&gt;0,FINANCIAMIENTO!$F$5,0)</f>
        <v>0</v>
      </c>
      <c r="AJ175" s="240" t="b">
        <f t="shared" ca="1" si="76"/>
        <v>0</v>
      </c>
      <c r="AK175" s="240">
        <f t="shared" ca="1" si="58"/>
        <v>0</v>
      </c>
      <c r="AL175" s="240">
        <f t="shared" ca="1" si="59"/>
        <v>76363.675936010943</v>
      </c>
      <c r="AM175" s="240">
        <f t="shared" ca="1" si="60"/>
        <v>76363.675936010943</v>
      </c>
      <c r="AN175" s="240">
        <f t="shared" ca="1" si="75"/>
        <v>11298162.335140649</v>
      </c>
    </row>
    <row r="176" spans="9:40">
      <c r="I176" s="217">
        <f t="shared" si="61"/>
        <v>74.083333333332874</v>
      </c>
      <c r="J176" s="216">
        <f t="shared" ca="1" si="55"/>
        <v>62856.639291942876</v>
      </c>
      <c r="K176" s="216">
        <f t="shared" ca="1" si="62"/>
        <v>9931349.0081269722</v>
      </c>
      <c r="M176" s="217">
        <f t="shared" si="63"/>
        <v>74.083333333332874</v>
      </c>
      <c r="N176" s="217">
        <f t="shared" ca="1" si="77"/>
        <v>0</v>
      </c>
      <c r="O176" s="216">
        <f t="shared" ca="1" si="64"/>
        <v>76363.675936010943</v>
      </c>
      <c r="P176" s="216">
        <f t="shared" ca="1" si="65"/>
        <v>11891167.448953779</v>
      </c>
      <c r="R176" s="217">
        <f t="shared" si="66"/>
        <v>74.083333333332874</v>
      </c>
      <c r="S176" s="240">
        <f t="shared" ca="1" si="56"/>
        <v>62856.639291942876</v>
      </c>
      <c r="T176" s="240">
        <f t="shared" ca="1" si="67"/>
        <v>9931349.0081269722</v>
      </c>
      <c r="V176" s="217">
        <f t="shared" si="68"/>
        <v>74.083333333332874</v>
      </c>
      <c r="W176" s="217">
        <f t="shared" ca="1" si="69"/>
        <v>0</v>
      </c>
      <c r="X176" s="240">
        <f t="shared" ca="1" si="70"/>
        <v>76363.675936010943</v>
      </c>
      <c r="Y176" s="240">
        <f t="shared" ca="1" si="71"/>
        <v>11864158.552018413</v>
      </c>
      <c r="AA176" s="217">
        <f t="shared" si="72"/>
        <v>74.083333333332874</v>
      </c>
      <c r="AB176" s="216">
        <f t="shared" ca="1" si="57"/>
        <v>62856.639291942876</v>
      </c>
      <c r="AC176" s="240">
        <f t="shared" ca="1" si="73"/>
        <v>9931349.0081269722</v>
      </c>
      <c r="AD176" s="216"/>
      <c r="AF176" s="210">
        <f>ROW()</f>
        <v>176</v>
      </c>
      <c r="AG176" s="217">
        <f t="shared" si="74"/>
        <v>74.083333333332874</v>
      </c>
      <c r="AH176" s="217">
        <f t="shared" ca="1" si="78"/>
        <v>0</v>
      </c>
      <c r="AI176" s="217">
        <f ca="1">IF(AH175&lt;&gt;0,FINANCIAMIENTO!$F$5,0)</f>
        <v>0</v>
      </c>
      <c r="AJ176" s="240" t="b">
        <f t="shared" ca="1" si="76"/>
        <v>0</v>
      </c>
      <c r="AK176" s="240">
        <f t="shared" ca="1" si="58"/>
        <v>0</v>
      </c>
      <c r="AL176" s="240">
        <f t="shared" ca="1" si="59"/>
        <v>76363.675936010943</v>
      </c>
      <c r="AM176" s="240">
        <f t="shared" ca="1" si="60"/>
        <v>76363.675936010943</v>
      </c>
      <c r="AN176" s="240">
        <f t="shared" ca="1" si="75"/>
        <v>11374526.011076661</v>
      </c>
    </row>
    <row r="177" spans="9:40">
      <c r="I177" s="217">
        <f t="shared" si="61"/>
        <v>74.166666666666202</v>
      </c>
      <c r="J177" s="216">
        <f t="shared" ca="1" si="55"/>
        <v>62856.639291942876</v>
      </c>
      <c r="K177" s="216">
        <f t="shared" ca="1" si="62"/>
        <v>9994205.6474189144</v>
      </c>
      <c r="M177" s="217">
        <f t="shared" si="63"/>
        <v>74.166666666666202</v>
      </c>
      <c r="N177" s="217">
        <f t="shared" ca="1" si="77"/>
        <v>0</v>
      </c>
      <c r="O177" s="216">
        <f t="shared" ca="1" si="64"/>
        <v>76363.675936010943</v>
      </c>
      <c r="P177" s="216">
        <f t="shared" ca="1" si="65"/>
        <v>11967531.124889791</v>
      </c>
      <c r="R177" s="217">
        <f t="shared" si="66"/>
        <v>74.166666666666202</v>
      </c>
      <c r="S177" s="240">
        <f t="shared" ca="1" si="56"/>
        <v>62856.639291942876</v>
      </c>
      <c r="T177" s="240">
        <f t="shared" ca="1" si="67"/>
        <v>9994205.6474189144</v>
      </c>
      <c r="V177" s="217">
        <f t="shared" si="68"/>
        <v>74.166666666666202</v>
      </c>
      <c r="W177" s="217">
        <f t="shared" ca="1" si="69"/>
        <v>0</v>
      </c>
      <c r="X177" s="240">
        <f t="shared" ca="1" si="70"/>
        <v>76363.675936010943</v>
      </c>
      <c r="Y177" s="240">
        <f t="shared" ca="1" si="71"/>
        <v>11940522.227954425</v>
      </c>
      <c r="AA177" s="217">
        <f t="shared" si="72"/>
        <v>74.166666666666202</v>
      </c>
      <c r="AB177" s="216">
        <f t="shared" ca="1" si="57"/>
        <v>62856.639291942876</v>
      </c>
      <c r="AC177" s="240">
        <f t="shared" ca="1" si="73"/>
        <v>9994205.6474189144</v>
      </c>
      <c r="AD177" s="216"/>
      <c r="AF177" s="210">
        <f>ROW()</f>
        <v>177</v>
      </c>
      <c r="AG177" s="217">
        <f t="shared" si="74"/>
        <v>74.166666666666202</v>
      </c>
      <c r="AH177" s="217">
        <f t="shared" ca="1" si="78"/>
        <v>0</v>
      </c>
      <c r="AI177" s="217">
        <f ca="1">IF(AH176&lt;&gt;0,FINANCIAMIENTO!$F$5,0)</f>
        <v>0</v>
      </c>
      <c r="AJ177" s="240" t="b">
        <f t="shared" ca="1" si="76"/>
        <v>0</v>
      </c>
      <c r="AK177" s="240">
        <f t="shared" ca="1" si="58"/>
        <v>0</v>
      </c>
      <c r="AL177" s="240">
        <f t="shared" ca="1" si="59"/>
        <v>76363.675936010943</v>
      </c>
      <c r="AM177" s="240">
        <f t="shared" ca="1" si="60"/>
        <v>76363.675936010943</v>
      </c>
      <c r="AN177" s="240">
        <f t="shared" ca="1" si="75"/>
        <v>11450889.687012672</v>
      </c>
    </row>
    <row r="178" spans="9:40">
      <c r="I178" s="217">
        <f t="shared" si="61"/>
        <v>74.249999999999531</v>
      </c>
      <c r="J178" s="216">
        <f t="shared" ca="1" si="55"/>
        <v>62856.639291942876</v>
      </c>
      <c r="K178" s="216">
        <f t="shared" ca="1" si="62"/>
        <v>10057062.286710856</v>
      </c>
      <c r="M178" s="217">
        <f t="shared" si="63"/>
        <v>74.249999999999531</v>
      </c>
      <c r="N178" s="217">
        <f t="shared" ca="1" si="77"/>
        <v>0</v>
      </c>
      <c r="O178" s="216">
        <f t="shared" ca="1" si="64"/>
        <v>76363.675936010943</v>
      </c>
      <c r="P178" s="216">
        <f t="shared" ca="1" si="65"/>
        <v>12043894.800825803</v>
      </c>
      <c r="R178" s="217">
        <f t="shared" si="66"/>
        <v>74.249999999999531</v>
      </c>
      <c r="S178" s="240">
        <f t="shared" ca="1" si="56"/>
        <v>62856.639291942876</v>
      </c>
      <c r="T178" s="240">
        <f t="shared" ca="1" si="67"/>
        <v>10057062.286710856</v>
      </c>
      <c r="V178" s="217">
        <f t="shared" si="68"/>
        <v>74.249999999999531</v>
      </c>
      <c r="W178" s="217">
        <f t="shared" ca="1" si="69"/>
        <v>0</v>
      </c>
      <c r="X178" s="240">
        <f t="shared" ca="1" si="70"/>
        <v>76363.675936010943</v>
      </c>
      <c r="Y178" s="240">
        <f t="shared" ca="1" si="71"/>
        <v>12016885.903890437</v>
      </c>
      <c r="AA178" s="217">
        <f t="shared" si="72"/>
        <v>74.249999999999531</v>
      </c>
      <c r="AB178" s="216">
        <f t="shared" ca="1" si="57"/>
        <v>62856.639291942876</v>
      </c>
      <c r="AC178" s="240">
        <f t="shared" ca="1" si="73"/>
        <v>10057062.286710856</v>
      </c>
      <c r="AD178" s="216"/>
      <c r="AF178" s="210">
        <f>ROW()</f>
        <v>178</v>
      </c>
      <c r="AG178" s="217">
        <f t="shared" si="74"/>
        <v>74.249999999999531</v>
      </c>
      <c r="AH178" s="217">
        <f t="shared" ca="1" si="78"/>
        <v>0</v>
      </c>
      <c r="AI178" s="217">
        <f ca="1">IF(AH177&lt;&gt;0,FINANCIAMIENTO!$F$5,0)</f>
        <v>0</v>
      </c>
      <c r="AJ178" s="240" t="b">
        <f t="shared" ca="1" si="76"/>
        <v>0</v>
      </c>
      <c r="AK178" s="240">
        <f t="shared" ca="1" si="58"/>
        <v>0</v>
      </c>
      <c r="AL178" s="240">
        <f t="shared" ca="1" si="59"/>
        <v>76363.675936010943</v>
      </c>
      <c r="AM178" s="240">
        <f t="shared" ca="1" si="60"/>
        <v>76363.675936010943</v>
      </c>
      <c r="AN178" s="240">
        <f t="shared" ca="1" si="75"/>
        <v>11527253.362948684</v>
      </c>
    </row>
    <row r="179" spans="9:40">
      <c r="I179" s="217">
        <f t="shared" si="61"/>
        <v>74.33333333333286</v>
      </c>
      <c r="J179" s="216">
        <f t="shared" ca="1" si="55"/>
        <v>62856.639291942876</v>
      </c>
      <c r="K179" s="216">
        <f t="shared" ca="1" si="62"/>
        <v>10119918.926002799</v>
      </c>
      <c r="M179" s="217">
        <f t="shared" si="63"/>
        <v>74.33333333333286</v>
      </c>
      <c r="N179" s="217">
        <f t="shared" ca="1" si="77"/>
        <v>0</v>
      </c>
      <c r="O179" s="216">
        <f t="shared" ca="1" si="64"/>
        <v>76363.675936010943</v>
      </c>
      <c r="P179" s="216">
        <f t="shared" ca="1" si="65"/>
        <v>12120258.476761814</v>
      </c>
      <c r="R179" s="217">
        <f t="shared" si="66"/>
        <v>74.33333333333286</v>
      </c>
      <c r="S179" s="240">
        <f t="shared" ca="1" si="56"/>
        <v>62856.639291942876</v>
      </c>
      <c r="T179" s="240">
        <f t="shared" ca="1" si="67"/>
        <v>10119918.926002799</v>
      </c>
      <c r="V179" s="217">
        <f t="shared" si="68"/>
        <v>74.33333333333286</v>
      </c>
      <c r="W179" s="217">
        <f t="shared" ca="1" si="69"/>
        <v>0</v>
      </c>
      <c r="X179" s="240">
        <f t="shared" ca="1" si="70"/>
        <v>76363.675936010943</v>
      </c>
      <c r="Y179" s="240">
        <f t="shared" ca="1" si="71"/>
        <v>12093249.579826448</v>
      </c>
      <c r="AA179" s="217">
        <f t="shared" si="72"/>
        <v>74.33333333333286</v>
      </c>
      <c r="AB179" s="216">
        <f t="shared" ca="1" si="57"/>
        <v>62856.639291942876</v>
      </c>
      <c r="AC179" s="240">
        <f t="shared" ca="1" si="73"/>
        <v>10119918.926002799</v>
      </c>
      <c r="AD179" s="216"/>
      <c r="AF179" s="210">
        <f>ROW()</f>
        <v>179</v>
      </c>
      <c r="AG179" s="217">
        <f t="shared" si="74"/>
        <v>74.33333333333286</v>
      </c>
      <c r="AH179" s="217">
        <f t="shared" ca="1" si="78"/>
        <v>0</v>
      </c>
      <c r="AI179" s="217">
        <f ca="1">IF(AH178&lt;&gt;0,FINANCIAMIENTO!$F$5,0)</f>
        <v>0</v>
      </c>
      <c r="AJ179" s="240" t="b">
        <f t="shared" ca="1" si="76"/>
        <v>0</v>
      </c>
      <c r="AK179" s="240">
        <f t="shared" ca="1" si="58"/>
        <v>0</v>
      </c>
      <c r="AL179" s="240">
        <f t="shared" ca="1" si="59"/>
        <v>76363.675936010943</v>
      </c>
      <c r="AM179" s="240">
        <f t="shared" ca="1" si="60"/>
        <v>76363.675936010943</v>
      </c>
      <c r="AN179" s="240">
        <f t="shared" ca="1" si="75"/>
        <v>11603617.038884696</v>
      </c>
    </row>
    <row r="180" spans="9:40">
      <c r="I180" s="217">
        <f t="shared" si="61"/>
        <v>74.416666666666188</v>
      </c>
      <c r="J180" s="216">
        <f t="shared" ca="1" si="55"/>
        <v>62856.639291942876</v>
      </c>
      <c r="K180" s="216">
        <f t="shared" ca="1" si="62"/>
        <v>10182775.565294741</v>
      </c>
      <c r="M180" s="217">
        <f t="shared" si="63"/>
        <v>74.416666666666188</v>
      </c>
      <c r="N180" s="217">
        <f t="shared" ca="1" si="77"/>
        <v>0</v>
      </c>
      <c r="O180" s="216">
        <f t="shared" ca="1" si="64"/>
        <v>76363.675936010943</v>
      </c>
      <c r="P180" s="216">
        <f t="shared" ca="1" si="65"/>
        <v>12196622.152697826</v>
      </c>
      <c r="R180" s="217">
        <f t="shared" si="66"/>
        <v>74.416666666666188</v>
      </c>
      <c r="S180" s="240">
        <f t="shared" ca="1" si="56"/>
        <v>62856.639291942876</v>
      </c>
      <c r="T180" s="240">
        <f t="shared" ca="1" si="67"/>
        <v>10182775.565294741</v>
      </c>
      <c r="V180" s="217">
        <f t="shared" si="68"/>
        <v>74.416666666666188</v>
      </c>
      <c r="W180" s="217">
        <f t="shared" ca="1" si="69"/>
        <v>0</v>
      </c>
      <c r="X180" s="240">
        <f t="shared" ca="1" si="70"/>
        <v>76363.675936010943</v>
      </c>
      <c r="Y180" s="240">
        <f t="shared" ca="1" si="71"/>
        <v>12169613.25576246</v>
      </c>
      <c r="AA180" s="217">
        <f t="shared" si="72"/>
        <v>74.416666666666188</v>
      </c>
      <c r="AB180" s="216">
        <f t="shared" ca="1" si="57"/>
        <v>62856.639291942876</v>
      </c>
      <c r="AC180" s="240">
        <f t="shared" ca="1" si="73"/>
        <v>10182775.565294741</v>
      </c>
      <c r="AD180" s="216"/>
      <c r="AF180" s="210">
        <f>ROW()</f>
        <v>180</v>
      </c>
      <c r="AG180" s="217">
        <f t="shared" si="74"/>
        <v>74.416666666666188</v>
      </c>
      <c r="AH180" s="217">
        <f t="shared" ca="1" si="78"/>
        <v>0</v>
      </c>
      <c r="AI180" s="217">
        <f ca="1">IF(AH179&lt;&gt;0,FINANCIAMIENTO!$F$5,0)</f>
        <v>0</v>
      </c>
      <c r="AJ180" s="240" t="b">
        <f t="shared" ca="1" si="76"/>
        <v>0</v>
      </c>
      <c r="AK180" s="240">
        <f t="shared" ca="1" si="58"/>
        <v>0</v>
      </c>
      <c r="AL180" s="240">
        <f t="shared" ca="1" si="59"/>
        <v>76363.675936010943</v>
      </c>
      <c r="AM180" s="240">
        <f t="shared" ca="1" si="60"/>
        <v>76363.675936010943</v>
      </c>
      <c r="AN180" s="240">
        <f t="shared" ca="1" si="75"/>
        <v>11679980.714820707</v>
      </c>
    </row>
    <row r="181" spans="9:40">
      <c r="I181" s="217">
        <f t="shared" si="61"/>
        <v>74.499999999999517</v>
      </c>
      <c r="J181" s="216">
        <f t="shared" ca="1" si="55"/>
        <v>62856.639291942876</v>
      </c>
      <c r="K181" s="216">
        <f t="shared" ca="1" si="62"/>
        <v>10245632.204586683</v>
      </c>
      <c r="M181" s="217">
        <f t="shared" si="63"/>
        <v>74.499999999999517</v>
      </c>
      <c r="N181" s="217">
        <f t="shared" ca="1" si="77"/>
        <v>0</v>
      </c>
      <c r="O181" s="216">
        <f t="shared" ca="1" si="64"/>
        <v>76363.675936010943</v>
      </c>
      <c r="P181" s="216">
        <f t="shared" ca="1" si="65"/>
        <v>12272985.828633837</v>
      </c>
      <c r="R181" s="217">
        <f t="shared" si="66"/>
        <v>74.499999999999517</v>
      </c>
      <c r="S181" s="240">
        <f t="shared" ca="1" si="56"/>
        <v>62856.639291942876</v>
      </c>
      <c r="T181" s="240">
        <f t="shared" ca="1" si="67"/>
        <v>10245632.204586683</v>
      </c>
      <c r="V181" s="217">
        <f t="shared" si="68"/>
        <v>74.499999999999517</v>
      </c>
      <c r="W181" s="217">
        <f t="shared" ca="1" si="69"/>
        <v>0</v>
      </c>
      <c r="X181" s="240">
        <f t="shared" ca="1" si="70"/>
        <v>76363.675936010943</v>
      </c>
      <c r="Y181" s="240">
        <f t="shared" ca="1" si="71"/>
        <v>12245976.931698471</v>
      </c>
      <c r="AA181" s="217">
        <f t="shared" si="72"/>
        <v>74.499999999999517</v>
      </c>
      <c r="AB181" s="216">
        <f t="shared" ca="1" si="57"/>
        <v>62856.639291942876</v>
      </c>
      <c r="AC181" s="240">
        <f t="shared" ca="1" si="73"/>
        <v>10245632.204586683</v>
      </c>
      <c r="AD181" s="216"/>
      <c r="AF181" s="210">
        <f>ROW()</f>
        <v>181</v>
      </c>
      <c r="AG181" s="217">
        <f t="shared" si="74"/>
        <v>74.499999999999517</v>
      </c>
      <c r="AH181" s="217">
        <f t="shared" ca="1" si="78"/>
        <v>0</v>
      </c>
      <c r="AI181" s="217">
        <f ca="1">IF(AH180&lt;&gt;0,FINANCIAMIENTO!$F$5,0)</f>
        <v>0</v>
      </c>
      <c r="AJ181" s="240" t="b">
        <f t="shared" ca="1" si="76"/>
        <v>0</v>
      </c>
      <c r="AK181" s="240">
        <f t="shared" ca="1" si="58"/>
        <v>0</v>
      </c>
      <c r="AL181" s="240">
        <f t="shared" ca="1" si="59"/>
        <v>76363.675936010943</v>
      </c>
      <c r="AM181" s="240">
        <f t="shared" ca="1" si="60"/>
        <v>76363.675936010943</v>
      </c>
      <c r="AN181" s="240">
        <f t="shared" ca="1" si="75"/>
        <v>11756344.390756719</v>
      </c>
    </row>
    <row r="182" spans="9:40">
      <c r="I182" s="217">
        <f t="shared" si="61"/>
        <v>74.583333333332845</v>
      </c>
      <c r="J182" s="216">
        <f t="shared" ca="1" si="55"/>
        <v>62856.639291942876</v>
      </c>
      <c r="K182" s="216">
        <f t="shared" ca="1" si="62"/>
        <v>10308488.843878625</v>
      </c>
      <c r="M182" s="217">
        <f t="shared" si="63"/>
        <v>74.583333333332845</v>
      </c>
      <c r="N182" s="217">
        <f t="shared" ca="1" si="77"/>
        <v>0</v>
      </c>
      <c r="O182" s="216">
        <f t="shared" ca="1" si="64"/>
        <v>76363.675936010943</v>
      </c>
      <c r="P182" s="216">
        <f t="shared" ca="1" si="65"/>
        <v>12349349.504569849</v>
      </c>
      <c r="R182" s="217">
        <f t="shared" si="66"/>
        <v>74.583333333332845</v>
      </c>
      <c r="S182" s="240">
        <f t="shared" ca="1" si="56"/>
        <v>62856.639291942876</v>
      </c>
      <c r="T182" s="240">
        <f t="shared" ca="1" si="67"/>
        <v>10308488.843878625</v>
      </c>
      <c r="V182" s="217">
        <f t="shared" si="68"/>
        <v>74.583333333332845</v>
      </c>
      <c r="W182" s="217">
        <f t="shared" ca="1" si="69"/>
        <v>0</v>
      </c>
      <c r="X182" s="240">
        <f t="shared" ca="1" si="70"/>
        <v>76363.675936010943</v>
      </c>
      <c r="Y182" s="240">
        <f t="shared" ca="1" si="71"/>
        <v>12322340.607634483</v>
      </c>
      <c r="AA182" s="217">
        <f t="shared" si="72"/>
        <v>74.583333333332845</v>
      </c>
      <c r="AB182" s="216">
        <f t="shared" ca="1" si="57"/>
        <v>62856.639291942876</v>
      </c>
      <c r="AC182" s="240">
        <f t="shared" ca="1" si="73"/>
        <v>10308488.843878625</v>
      </c>
      <c r="AD182" s="216"/>
      <c r="AF182" s="210">
        <f>ROW()</f>
        <v>182</v>
      </c>
      <c r="AG182" s="217">
        <f t="shared" si="74"/>
        <v>74.583333333332845</v>
      </c>
      <c r="AH182" s="217">
        <f t="shared" ca="1" si="78"/>
        <v>0</v>
      </c>
      <c r="AI182" s="217">
        <f ca="1">IF(AH181&lt;&gt;0,FINANCIAMIENTO!$F$5,0)</f>
        <v>0</v>
      </c>
      <c r="AJ182" s="240" t="b">
        <f t="shared" ca="1" si="76"/>
        <v>0</v>
      </c>
      <c r="AK182" s="240">
        <f t="shared" ca="1" si="58"/>
        <v>0</v>
      </c>
      <c r="AL182" s="240">
        <f t="shared" ca="1" si="59"/>
        <v>76363.675936010943</v>
      </c>
      <c r="AM182" s="240">
        <f t="shared" ca="1" si="60"/>
        <v>76363.675936010943</v>
      </c>
      <c r="AN182" s="240">
        <f t="shared" ca="1" si="75"/>
        <v>11832708.06669273</v>
      </c>
    </row>
    <row r="183" spans="9:40">
      <c r="I183" s="217">
        <f t="shared" si="61"/>
        <v>74.666666666666174</v>
      </c>
      <c r="J183" s="216">
        <f t="shared" ca="1" si="55"/>
        <v>62856.639291942876</v>
      </c>
      <c r="K183" s="216">
        <f t="shared" ca="1" si="62"/>
        <v>10371345.483170567</v>
      </c>
      <c r="M183" s="217">
        <f t="shared" si="63"/>
        <v>74.666666666666174</v>
      </c>
      <c r="N183" s="217">
        <f t="shared" ca="1" si="77"/>
        <v>0</v>
      </c>
      <c r="O183" s="216">
        <f t="shared" ca="1" si="64"/>
        <v>76363.675936010943</v>
      </c>
      <c r="P183" s="216">
        <f t="shared" ca="1" si="65"/>
        <v>12425713.180505861</v>
      </c>
      <c r="R183" s="217">
        <f t="shared" si="66"/>
        <v>74.666666666666174</v>
      </c>
      <c r="S183" s="240">
        <f t="shared" ca="1" si="56"/>
        <v>62856.639291942876</v>
      </c>
      <c r="T183" s="240">
        <f t="shared" ca="1" si="67"/>
        <v>10371345.483170567</v>
      </c>
      <c r="V183" s="217">
        <f t="shared" si="68"/>
        <v>74.666666666666174</v>
      </c>
      <c r="W183" s="217">
        <f t="shared" ca="1" si="69"/>
        <v>0</v>
      </c>
      <c r="X183" s="240">
        <f t="shared" ca="1" si="70"/>
        <v>76363.675936010943</v>
      </c>
      <c r="Y183" s="240">
        <f t="shared" ca="1" si="71"/>
        <v>12398704.283570495</v>
      </c>
      <c r="AA183" s="217">
        <f t="shared" si="72"/>
        <v>74.666666666666174</v>
      </c>
      <c r="AB183" s="216">
        <f t="shared" ca="1" si="57"/>
        <v>62856.639291942876</v>
      </c>
      <c r="AC183" s="240">
        <f t="shared" ca="1" si="73"/>
        <v>10371345.483170567</v>
      </c>
      <c r="AD183" s="216"/>
      <c r="AF183" s="210">
        <f>ROW()</f>
        <v>183</v>
      </c>
      <c r="AG183" s="217">
        <f t="shared" si="74"/>
        <v>74.666666666666174</v>
      </c>
      <c r="AH183" s="217">
        <f t="shared" ca="1" si="78"/>
        <v>0</v>
      </c>
      <c r="AI183" s="217">
        <f ca="1">IF(AH182&lt;&gt;0,FINANCIAMIENTO!$F$5,0)</f>
        <v>0</v>
      </c>
      <c r="AJ183" s="240" t="b">
        <f t="shared" ca="1" si="76"/>
        <v>0</v>
      </c>
      <c r="AK183" s="240">
        <f t="shared" ca="1" si="58"/>
        <v>0</v>
      </c>
      <c r="AL183" s="240">
        <f t="shared" ca="1" si="59"/>
        <v>76363.675936010943</v>
      </c>
      <c r="AM183" s="240">
        <f t="shared" ca="1" si="60"/>
        <v>76363.675936010943</v>
      </c>
      <c r="AN183" s="240">
        <f t="shared" ca="1" si="75"/>
        <v>11909071.742628742</v>
      </c>
    </row>
    <row r="184" spans="9:40">
      <c r="I184" s="217">
        <f t="shared" si="61"/>
        <v>74.749999999999503</v>
      </c>
      <c r="J184" s="216">
        <f t="shared" ca="1" si="55"/>
        <v>62856.639291942876</v>
      </c>
      <c r="K184" s="216">
        <f t="shared" ca="1" si="62"/>
        <v>10434202.122462509</v>
      </c>
      <c r="M184" s="217">
        <f t="shared" si="63"/>
        <v>74.749999999999503</v>
      </c>
      <c r="N184" s="217">
        <f t="shared" ca="1" si="77"/>
        <v>0</v>
      </c>
      <c r="O184" s="216">
        <f t="shared" ca="1" si="64"/>
        <v>76363.675936010943</v>
      </c>
      <c r="P184" s="216">
        <f t="shared" ca="1" si="65"/>
        <v>12502076.856441872</v>
      </c>
      <c r="R184" s="217">
        <f t="shared" si="66"/>
        <v>74.749999999999503</v>
      </c>
      <c r="S184" s="240">
        <f t="shared" ca="1" si="56"/>
        <v>62856.639291942876</v>
      </c>
      <c r="T184" s="240">
        <f t="shared" ca="1" si="67"/>
        <v>10434202.122462509</v>
      </c>
      <c r="V184" s="217">
        <f t="shared" si="68"/>
        <v>74.749999999999503</v>
      </c>
      <c r="W184" s="217">
        <f t="shared" ca="1" si="69"/>
        <v>0</v>
      </c>
      <c r="X184" s="240">
        <f t="shared" ca="1" si="70"/>
        <v>76363.675936010943</v>
      </c>
      <c r="Y184" s="240">
        <f t="shared" ca="1" si="71"/>
        <v>12475067.959506506</v>
      </c>
      <c r="AA184" s="217">
        <f t="shared" si="72"/>
        <v>74.749999999999503</v>
      </c>
      <c r="AB184" s="216">
        <f t="shared" ca="1" si="57"/>
        <v>62856.639291942876</v>
      </c>
      <c r="AC184" s="240">
        <f t="shared" ca="1" si="73"/>
        <v>10434202.122462509</v>
      </c>
      <c r="AD184" s="216"/>
      <c r="AF184" s="210">
        <f>ROW()</f>
        <v>184</v>
      </c>
      <c r="AG184" s="217">
        <f t="shared" si="74"/>
        <v>74.749999999999503</v>
      </c>
      <c r="AH184" s="217">
        <f t="shared" ca="1" si="78"/>
        <v>0</v>
      </c>
      <c r="AI184" s="217">
        <f ca="1">IF(AH183&lt;&gt;0,FINANCIAMIENTO!$F$5,0)</f>
        <v>0</v>
      </c>
      <c r="AJ184" s="240" t="b">
        <f t="shared" ca="1" si="76"/>
        <v>0</v>
      </c>
      <c r="AK184" s="240">
        <f t="shared" ca="1" si="58"/>
        <v>0</v>
      </c>
      <c r="AL184" s="240">
        <f t="shared" ca="1" si="59"/>
        <v>76363.675936010943</v>
      </c>
      <c r="AM184" s="240">
        <f t="shared" ca="1" si="60"/>
        <v>76363.675936010943</v>
      </c>
      <c r="AN184" s="240">
        <f t="shared" ca="1" si="75"/>
        <v>11985435.418564754</v>
      </c>
    </row>
    <row r="185" spans="9:40">
      <c r="I185" s="217">
        <f t="shared" si="61"/>
        <v>74.833333333332831</v>
      </c>
      <c r="J185" s="216">
        <f t="shared" ca="1" si="55"/>
        <v>62856.639291942876</v>
      </c>
      <c r="K185" s="216">
        <f t="shared" ca="1" si="62"/>
        <v>10497058.761754451</v>
      </c>
      <c r="M185" s="217">
        <f t="shared" si="63"/>
        <v>74.833333333332831</v>
      </c>
      <c r="N185" s="217">
        <f t="shared" ca="1" si="77"/>
        <v>0</v>
      </c>
      <c r="O185" s="216">
        <f t="shared" ca="1" si="64"/>
        <v>76363.675936010943</v>
      </c>
      <c r="P185" s="216">
        <f t="shared" ca="1" si="65"/>
        <v>12578440.532377884</v>
      </c>
      <c r="R185" s="217">
        <f t="shared" si="66"/>
        <v>74.833333333332831</v>
      </c>
      <c r="S185" s="240">
        <f t="shared" ca="1" si="56"/>
        <v>62856.639291942876</v>
      </c>
      <c r="T185" s="240">
        <f t="shared" ca="1" si="67"/>
        <v>10497058.761754451</v>
      </c>
      <c r="V185" s="217">
        <f t="shared" si="68"/>
        <v>74.833333333332831</v>
      </c>
      <c r="W185" s="217">
        <f t="shared" ca="1" si="69"/>
        <v>0</v>
      </c>
      <c r="X185" s="240">
        <f t="shared" ca="1" si="70"/>
        <v>76363.675936010943</v>
      </c>
      <c r="Y185" s="240">
        <f t="shared" ca="1" si="71"/>
        <v>12551431.635442518</v>
      </c>
      <c r="AA185" s="217">
        <f t="shared" si="72"/>
        <v>74.833333333332831</v>
      </c>
      <c r="AB185" s="216">
        <f t="shared" ca="1" si="57"/>
        <v>62856.639291942876</v>
      </c>
      <c r="AC185" s="240">
        <f t="shared" ca="1" si="73"/>
        <v>10497058.761754451</v>
      </c>
      <c r="AD185" s="216"/>
      <c r="AF185" s="210">
        <f>ROW()</f>
        <v>185</v>
      </c>
      <c r="AG185" s="217">
        <f t="shared" si="74"/>
        <v>74.833333333332831</v>
      </c>
      <c r="AH185" s="217">
        <f t="shared" ca="1" si="78"/>
        <v>0</v>
      </c>
      <c r="AI185" s="217">
        <f ca="1">IF(AH184&lt;&gt;0,FINANCIAMIENTO!$F$5,0)</f>
        <v>0</v>
      </c>
      <c r="AJ185" s="240" t="b">
        <f t="shared" ca="1" si="76"/>
        <v>0</v>
      </c>
      <c r="AK185" s="240">
        <f t="shared" ca="1" si="58"/>
        <v>0</v>
      </c>
      <c r="AL185" s="240">
        <f t="shared" ca="1" si="59"/>
        <v>76363.675936010943</v>
      </c>
      <c r="AM185" s="240">
        <f t="shared" ca="1" si="60"/>
        <v>76363.675936010943</v>
      </c>
      <c r="AN185" s="240">
        <f t="shared" ca="1" si="75"/>
        <v>12061799.094500765</v>
      </c>
    </row>
    <row r="186" spans="9:40">
      <c r="I186" s="217">
        <f t="shared" si="61"/>
        <v>74.91666666666616</v>
      </c>
      <c r="J186" s="216">
        <f t="shared" ca="1" si="55"/>
        <v>62856.639291942876</v>
      </c>
      <c r="K186" s="216">
        <f t="shared" ca="1" si="62"/>
        <v>10559915.401046393</v>
      </c>
      <c r="M186" s="217">
        <f t="shared" si="63"/>
        <v>74.91666666666616</v>
      </c>
      <c r="N186" s="217">
        <f t="shared" ca="1" si="77"/>
        <v>0</v>
      </c>
      <c r="O186" s="216">
        <f t="shared" ca="1" si="64"/>
        <v>76363.675936010943</v>
      </c>
      <c r="P186" s="216">
        <f t="shared" ca="1" si="65"/>
        <v>12654804.208313895</v>
      </c>
      <c r="R186" s="217">
        <f t="shared" si="66"/>
        <v>74.91666666666616</v>
      </c>
      <c r="S186" s="240">
        <f t="shared" ca="1" si="56"/>
        <v>62856.639291942876</v>
      </c>
      <c r="T186" s="240">
        <f t="shared" ca="1" si="67"/>
        <v>10559915.401046393</v>
      </c>
      <c r="V186" s="217">
        <f t="shared" si="68"/>
        <v>74.91666666666616</v>
      </c>
      <c r="W186" s="217">
        <f t="shared" ca="1" si="69"/>
        <v>0</v>
      </c>
      <c r="X186" s="240">
        <f t="shared" ca="1" si="70"/>
        <v>76363.675936010943</v>
      </c>
      <c r="Y186" s="240">
        <f t="shared" ca="1" si="71"/>
        <v>12627795.311378529</v>
      </c>
      <c r="AA186" s="217">
        <f t="shared" si="72"/>
        <v>74.91666666666616</v>
      </c>
      <c r="AB186" s="216">
        <f t="shared" ca="1" si="57"/>
        <v>62856.639291942876</v>
      </c>
      <c r="AC186" s="240">
        <f t="shared" ca="1" si="73"/>
        <v>10559915.401046393</v>
      </c>
      <c r="AD186" s="216"/>
      <c r="AF186" s="210">
        <f>ROW()</f>
        <v>186</v>
      </c>
      <c r="AG186" s="217">
        <f t="shared" si="74"/>
        <v>74.91666666666616</v>
      </c>
      <c r="AH186" s="217">
        <f t="shared" ref="AH186:AH247" ca="1" si="79">+IF(AND($AH$3&gt;=AG187-0.02,$N$3&lt;=AG187+0.02),$AH$4,0)</f>
        <v>0</v>
      </c>
      <c r="AI186" s="217">
        <f ca="1">IF(AH185&lt;&gt;0,FINANCIAMIENTO!$F$5,0)</f>
        <v>0</v>
      </c>
      <c r="AJ186" s="240" t="b">
        <f t="shared" ca="1" si="76"/>
        <v>0</v>
      </c>
      <c r="AK186" s="240">
        <f t="shared" ref="AK186:AK247" ca="1" si="80">IF(AJ186=TRUE,$AE$7,0)</f>
        <v>0</v>
      </c>
      <c r="AL186" s="240">
        <f t="shared" ref="AL186:AL247" ca="1" si="81">+IF(AG186&gt;=$N$3,$N$2,0)</f>
        <v>76363.675936010943</v>
      </c>
      <c r="AM186" s="240">
        <f t="shared" ref="AM186:AM247" ca="1" si="82">IF(AND(AK186=$AE$7,AL186=$AH$2),$AE$7,IF(AL186=$AH$2,$AH$2,IF(AK186=$AE$7,$AE$7,0)))</f>
        <v>76363.675936010943</v>
      </c>
      <c r="AN186" s="240">
        <f t="shared" ref="AN186:AN247" ca="1" si="83">+AM186+AH186+AN185</f>
        <v>12138162.770436777</v>
      </c>
    </row>
    <row r="187" spans="9:40">
      <c r="I187" s="217">
        <f t="shared" si="61"/>
        <v>74.999999999999488</v>
      </c>
      <c r="J187" s="216">
        <f t="shared" ca="1" si="55"/>
        <v>62856.639291942876</v>
      </c>
      <c r="K187" s="216">
        <f t="shared" ca="1" si="62"/>
        <v>10622772.040338336</v>
      </c>
      <c r="M187" s="217">
        <f t="shared" si="63"/>
        <v>74.999999999999488</v>
      </c>
      <c r="N187" s="217">
        <f t="shared" ca="1" si="77"/>
        <v>0</v>
      </c>
      <c r="O187" s="216">
        <f t="shared" ca="1" si="64"/>
        <v>76363.675936010943</v>
      </c>
      <c r="P187" s="216">
        <f t="shared" ca="1" si="65"/>
        <v>12731167.884249907</v>
      </c>
      <c r="R187" s="217">
        <f t="shared" si="66"/>
        <v>74.999999999999488</v>
      </c>
      <c r="S187" s="240">
        <f t="shared" ca="1" si="56"/>
        <v>62856.639291942876</v>
      </c>
      <c r="T187" s="240">
        <f t="shared" ca="1" si="67"/>
        <v>10622772.040338336</v>
      </c>
      <c r="V187" s="217">
        <f t="shared" si="68"/>
        <v>74.999999999999488</v>
      </c>
      <c r="W187" s="217">
        <f t="shared" ca="1" si="69"/>
        <v>0</v>
      </c>
      <c r="X187" s="240">
        <f t="shared" ca="1" si="70"/>
        <v>76363.675936010943</v>
      </c>
      <c r="Y187" s="240">
        <f t="shared" ca="1" si="71"/>
        <v>12704158.987314541</v>
      </c>
      <c r="AA187" s="217">
        <f t="shared" si="72"/>
        <v>74.999999999999488</v>
      </c>
      <c r="AB187" s="216">
        <f t="shared" ca="1" si="57"/>
        <v>62856.639291942876</v>
      </c>
      <c r="AC187" s="240">
        <f t="shared" ca="1" si="73"/>
        <v>10622772.040338336</v>
      </c>
      <c r="AD187" s="216"/>
      <c r="AF187" s="210">
        <f>ROW()</f>
        <v>187</v>
      </c>
      <c r="AG187" s="217">
        <f t="shared" si="74"/>
        <v>74.999999999999488</v>
      </c>
      <c r="AH187" s="217">
        <f t="shared" ca="1" si="79"/>
        <v>0</v>
      </c>
      <c r="AI187" s="217">
        <f ca="1">IF(AH186&lt;&gt;0,FINANCIAMIENTO!$F$5,0)</f>
        <v>0</v>
      </c>
      <c r="AJ187" s="240" t="b">
        <f t="shared" ca="1" si="76"/>
        <v>0</v>
      </c>
      <c r="AK187" s="240">
        <f t="shared" ca="1" si="80"/>
        <v>0</v>
      </c>
      <c r="AL187" s="240">
        <f t="shared" ca="1" si="81"/>
        <v>76363.675936010943</v>
      </c>
      <c r="AM187" s="240">
        <f t="shared" ca="1" si="82"/>
        <v>76363.675936010943</v>
      </c>
      <c r="AN187" s="240">
        <f t="shared" ca="1" si="83"/>
        <v>12214526.446372788</v>
      </c>
    </row>
    <row r="188" spans="9:40">
      <c r="I188" s="217">
        <f t="shared" si="61"/>
        <v>75.083333333332817</v>
      </c>
      <c r="J188" s="216">
        <f t="shared" ref="J188:J247" ca="1" si="84">+IF(I188&gt;=$J$3,$J$2,0)</f>
        <v>62856.639291942876</v>
      </c>
      <c r="K188" s="216">
        <f t="shared" ref="K188:K247" ca="1" si="85">+J188+K187</f>
        <v>10685628.679630278</v>
      </c>
      <c r="M188" s="217">
        <f t="shared" si="63"/>
        <v>75.083333333332817</v>
      </c>
      <c r="N188" s="217">
        <f t="shared" ref="N188:N246" ca="1" si="86">+IF(AND($N$3&gt;=M189-0.02,$N$3&lt;=M189+0.02),$N$4,0)</f>
        <v>0</v>
      </c>
      <c r="O188" s="216">
        <f t="shared" ref="O188:O247" ca="1" si="87">+IF(M188&gt;=$N$3,$N$2,0)</f>
        <v>76363.675936010943</v>
      </c>
      <c r="P188" s="216">
        <f t="shared" ref="P188:P247" ca="1" si="88">+N188+O188+P187</f>
        <v>12807531.560185919</v>
      </c>
      <c r="R188" s="217">
        <f t="shared" si="66"/>
        <v>75.083333333332817</v>
      </c>
      <c r="S188" s="240">
        <f t="shared" ref="S188:S247" ca="1" si="89">+IF(R188&gt;=$J$3,$J$2,0)</f>
        <v>62856.639291942876</v>
      </c>
      <c r="T188" s="240">
        <f t="shared" ref="T188:T247" ca="1" si="90">+S188+T187</f>
        <v>10685628.679630278</v>
      </c>
      <c r="V188" s="217">
        <f t="shared" si="68"/>
        <v>75.083333333332817</v>
      </c>
      <c r="W188" s="217">
        <f t="shared" ref="W188:W246" ca="1" si="91">+IF(AND($W$3&gt;=V189-0.02,$N$3&lt;=V189+0.02),$W$4,0)</f>
        <v>0</v>
      </c>
      <c r="X188" s="240">
        <f t="shared" ref="X188:X247" ca="1" si="92">+IF(V188&gt;=$N$3,$N$2,0)</f>
        <v>76363.675936010943</v>
      </c>
      <c r="Y188" s="240">
        <f t="shared" ref="Y188:Y247" ca="1" si="93">+W188+X188+Y187</f>
        <v>12780522.663250552</v>
      </c>
      <c r="AF188" s="210">
        <f>ROW()</f>
        <v>188</v>
      </c>
      <c r="AG188" s="217">
        <f t="shared" si="74"/>
        <v>75.083333333332817</v>
      </c>
      <c r="AH188" s="217">
        <f t="shared" ca="1" si="79"/>
        <v>0</v>
      </c>
      <c r="AI188" s="217">
        <f ca="1">IF(AH187&lt;&gt;0,FINANCIAMIENTO!$F$5,0)</f>
        <v>0</v>
      </c>
      <c r="AJ188" s="240" t="b">
        <f t="shared" ca="1" si="76"/>
        <v>0</v>
      </c>
      <c r="AK188" s="240">
        <f t="shared" ca="1" si="80"/>
        <v>0</v>
      </c>
      <c r="AL188" s="240">
        <f t="shared" ca="1" si="81"/>
        <v>76363.675936010943</v>
      </c>
      <c r="AM188" s="240">
        <f t="shared" ca="1" si="82"/>
        <v>76363.675936010943</v>
      </c>
      <c r="AN188" s="240">
        <f t="shared" ca="1" si="83"/>
        <v>12290890.1223088</v>
      </c>
    </row>
    <row r="189" spans="9:40">
      <c r="I189" s="217">
        <f t="shared" si="61"/>
        <v>75.166666666666146</v>
      </c>
      <c r="J189" s="216">
        <f t="shared" ca="1" si="84"/>
        <v>62856.639291942876</v>
      </c>
      <c r="K189" s="216">
        <f t="shared" ca="1" si="85"/>
        <v>10748485.31892222</v>
      </c>
      <c r="M189" s="217">
        <f t="shared" si="63"/>
        <v>75.166666666666146</v>
      </c>
      <c r="N189" s="217">
        <f t="shared" ca="1" si="86"/>
        <v>0</v>
      </c>
      <c r="O189" s="216">
        <f t="shared" ca="1" si="87"/>
        <v>76363.675936010943</v>
      </c>
      <c r="P189" s="216">
        <f t="shared" ca="1" si="88"/>
        <v>12883895.23612193</v>
      </c>
      <c r="R189" s="217">
        <f t="shared" si="66"/>
        <v>75.166666666666146</v>
      </c>
      <c r="S189" s="240">
        <f t="shared" ca="1" si="89"/>
        <v>62856.639291942876</v>
      </c>
      <c r="T189" s="240">
        <f t="shared" ca="1" si="90"/>
        <v>10748485.31892222</v>
      </c>
      <c r="V189" s="217">
        <f t="shared" si="68"/>
        <v>75.166666666666146</v>
      </c>
      <c r="W189" s="217">
        <f t="shared" ca="1" si="91"/>
        <v>0</v>
      </c>
      <c r="X189" s="240">
        <f t="shared" ca="1" si="92"/>
        <v>76363.675936010943</v>
      </c>
      <c r="Y189" s="240">
        <f t="shared" ca="1" si="93"/>
        <v>12856886.339186564</v>
      </c>
      <c r="AF189" s="210">
        <f>ROW()</f>
        <v>189</v>
      </c>
      <c r="AG189" s="217">
        <f t="shared" si="74"/>
        <v>75.166666666666146</v>
      </c>
      <c r="AH189" s="217">
        <f t="shared" ca="1" si="79"/>
        <v>0</v>
      </c>
      <c r="AI189" s="217">
        <f ca="1">IF(AH188&lt;&gt;0,FINANCIAMIENTO!$F$5,0)</f>
        <v>0</v>
      </c>
      <c r="AJ189" s="240" t="b">
        <f t="shared" ca="1" si="76"/>
        <v>0</v>
      </c>
      <c r="AK189" s="240">
        <f t="shared" ca="1" si="80"/>
        <v>0</v>
      </c>
      <c r="AL189" s="240">
        <f t="shared" ca="1" si="81"/>
        <v>76363.675936010943</v>
      </c>
      <c r="AM189" s="240">
        <f t="shared" ca="1" si="82"/>
        <v>76363.675936010943</v>
      </c>
      <c r="AN189" s="240">
        <f t="shared" ca="1" si="83"/>
        <v>12367253.798244812</v>
      </c>
    </row>
    <row r="190" spans="9:40">
      <c r="I190" s="217">
        <f t="shared" si="61"/>
        <v>75.249999999999474</v>
      </c>
      <c r="J190" s="216">
        <f t="shared" ca="1" si="84"/>
        <v>62856.639291942876</v>
      </c>
      <c r="K190" s="216">
        <f t="shared" ca="1" si="85"/>
        <v>10811341.958214162</v>
      </c>
      <c r="M190" s="217">
        <f t="shared" si="63"/>
        <v>75.249999999999474</v>
      </c>
      <c r="N190" s="217">
        <f t="shared" ca="1" si="86"/>
        <v>0</v>
      </c>
      <c r="O190" s="216">
        <f t="shared" ca="1" si="87"/>
        <v>76363.675936010943</v>
      </c>
      <c r="P190" s="216">
        <f t="shared" ca="1" si="88"/>
        <v>12960258.912057942</v>
      </c>
      <c r="R190" s="217">
        <f t="shared" si="66"/>
        <v>75.249999999999474</v>
      </c>
      <c r="S190" s="240">
        <f t="shared" ca="1" si="89"/>
        <v>62856.639291942876</v>
      </c>
      <c r="T190" s="240">
        <f t="shared" ca="1" si="90"/>
        <v>10811341.958214162</v>
      </c>
      <c r="V190" s="217">
        <f t="shared" si="68"/>
        <v>75.249999999999474</v>
      </c>
      <c r="W190" s="217">
        <f t="shared" ca="1" si="91"/>
        <v>0</v>
      </c>
      <c r="X190" s="240">
        <f t="shared" ca="1" si="92"/>
        <v>76363.675936010943</v>
      </c>
      <c r="Y190" s="240">
        <f t="shared" ca="1" si="93"/>
        <v>12933250.015122576</v>
      </c>
      <c r="AF190" s="210">
        <f>ROW()</f>
        <v>190</v>
      </c>
      <c r="AG190" s="217">
        <f t="shared" si="74"/>
        <v>75.249999999999474</v>
      </c>
      <c r="AH190" s="217">
        <f t="shared" ca="1" si="79"/>
        <v>0</v>
      </c>
      <c r="AI190" s="217">
        <f ca="1">IF(AH189&lt;&gt;0,FINANCIAMIENTO!$F$5,0)</f>
        <v>0</v>
      </c>
      <c r="AJ190" s="240" t="b">
        <f t="shared" ca="1" si="76"/>
        <v>0</v>
      </c>
      <c r="AK190" s="240">
        <f t="shared" ca="1" si="80"/>
        <v>0</v>
      </c>
      <c r="AL190" s="240">
        <f t="shared" ca="1" si="81"/>
        <v>76363.675936010943</v>
      </c>
      <c r="AM190" s="240">
        <f t="shared" ca="1" si="82"/>
        <v>76363.675936010943</v>
      </c>
      <c r="AN190" s="240">
        <f t="shared" ca="1" si="83"/>
        <v>12443617.474180823</v>
      </c>
    </row>
    <row r="191" spans="9:40">
      <c r="I191" s="217">
        <f t="shared" si="61"/>
        <v>75.333333333332803</v>
      </c>
      <c r="J191" s="216">
        <f t="shared" ca="1" si="84"/>
        <v>62856.639291942876</v>
      </c>
      <c r="K191" s="216">
        <f t="shared" ca="1" si="85"/>
        <v>10874198.597506104</v>
      </c>
      <c r="M191" s="217">
        <f t="shared" si="63"/>
        <v>75.333333333332803</v>
      </c>
      <c r="N191" s="217">
        <f t="shared" ca="1" si="86"/>
        <v>0</v>
      </c>
      <c r="O191" s="216">
        <f t="shared" ca="1" si="87"/>
        <v>76363.675936010943</v>
      </c>
      <c r="P191" s="216">
        <f t="shared" ca="1" si="88"/>
        <v>13036622.587993953</v>
      </c>
      <c r="R191" s="217">
        <f t="shared" si="66"/>
        <v>75.333333333332803</v>
      </c>
      <c r="S191" s="240">
        <f t="shared" ca="1" si="89"/>
        <v>62856.639291942876</v>
      </c>
      <c r="T191" s="240">
        <f t="shared" ca="1" si="90"/>
        <v>10874198.597506104</v>
      </c>
      <c r="V191" s="217">
        <f t="shared" si="68"/>
        <v>75.333333333332803</v>
      </c>
      <c r="W191" s="217">
        <f t="shared" ca="1" si="91"/>
        <v>0</v>
      </c>
      <c r="X191" s="240">
        <f t="shared" ca="1" si="92"/>
        <v>76363.675936010943</v>
      </c>
      <c r="Y191" s="240">
        <f t="shared" ca="1" si="93"/>
        <v>13009613.691058587</v>
      </c>
      <c r="AF191" s="210">
        <f>ROW()</f>
        <v>191</v>
      </c>
      <c r="AG191" s="217">
        <f t="shared" si="74"/>
        <v>75.333333333332803</v>
      </c>
      <c r="AH191" s="217">
        <f t="shared" ca="1" si="79"/>
        <v>0</v>
      </c>
      <c r="AI191" s="217">
        <f ca="1">IF(AH190&lt;&gt;0,FINANCIAMIENTO!$F$5,0)</f>
        <v>0</v>
      </c>
      <c r="AJ191" s="240" t="b">
        <f t="shared" ca="1" si="76"/>
        <v>0</v>
      </c>
      <c r="AK191" s="240">
        <f t="shared" ca="1" si="80"/>
        <v>0</v>
      </c>
      <c r="AL191" s="240">
        <f t="shared" ca="1" si="81"/>
        <v>76363.675936010943</v>
      </c>
      <c r="AM191" s="240">
        <f t="shared" ca="1" si="82"/>
        <v>76363.675936010943</v>
      </c>
      <c r="AN191" s="240">
        <f t="shared" ca="1" si="83"/>
        <v>12519981.150116835</v>
      </c>
    </row>
    <row r="192" spans="9:40">
      <c r="I192" s="217">
        <f t="shared" si="61"/>
        <v>75.416666666666131</v>
      </c>
      <c r="J192" s="216">
        <f t="shared" ca="1" si="84"/>
        <v>62856.639291942876</v>
      </c>
      <c r="K192" s="216">
        <f t="shared" ca="1" si="85"/>
        <v>10937055.236798046</v>
      </c>
      <c r="M192" s="217">
        <f t="shared" si="63"/>
        <v>75.416666666666131</v>
      </c>
      <c r="N192" s="217">
        <f t="shared" ca="1" si="86"/>
        <v>0</v>
      </c>
      <c r="O192" s="216">
        <f t="shared" ca="1" si="87"/>
        <v>76363.675936010943</v>
      </c>
      <c r="P192" s="216">
        <f t="shared" ca="1" si="88"/>
        <v>13112986.263929965</v>
      </c>
      <c r="R192" s="217">
        <f t="shared" si="66"/>
        <v>75.416666666666131</v>
      </c>
      <c r="S192" s="240">
        <f t="shared" ca="1" si="89"/>
        <v>62856.639291942876</v>
      </c>
      <c r="T192" s="240">
        <f t="shared" ca="1" si="90"/>
        <v>10937055.236798046</v>
      </c>
      <c r="V192" s="217">
        <f t="shared" si="68"/>
        <v>75.416666666666131</v>
      </c>
      <c r="W192" s="217">
        <f t="shared" ca="1" si="91"/>
        <v>0</v>
      </c>
      <c r="X192" s="240">
        <f t="shared" ca="1" si="92"/>
        <v>76363.675936010943</v>
      </c>
      <c r="Y192" s="240">
        <f t="shared" ca="1" si="93"/>
        <v>13085977.366994599</v>
      </c>
      <c r="AF192" s="210">
        <f>ROW()</f>
        <v>192</v>
      </c>
      <c r="AG192" s="217">
        <f t="shared" si="74"/>
        <v>75.416666666666131</v>
      </c>
      <c r="AH192" s="217">
        <f t="shared" ca="1" si="79"/>
        <v>0</v>
      </c>
      <c r="AI192" s="217">
        <f ca="1">IF(AH191&lt;&gt;0,FINANCIAMIENTO!$F$5,0)</f>
        <v>0</v>
      </c>
      <c r="AJ192" s="240" t="b">
        <f t="shared" ca="1" si="76"/>
        <v>0</v>
      </c>
      <c r="AK192" s="240">
        <f t="shared" ca="1" si="80"/>
        <v>0</v>
      </c>
      <c r="AL192" s="240">
        <f t="shared" ca="1" si="81"/>
        <v>76363.675936010943</v>
      </c>
      <c r="AM192" s="240">
        <f t="shared" ca="1" si="82"/>
        <v>76363.675936010943</v>
      </c>
      <c r="AN192" s="240">
        <f t="shared" ca="1" si="83"/>
        <v>12596344.826052846</v>
      </c>
    </row>
    <row r="193" spans="9:40">
      <c r="I193" s="217">
        <f t="shared" si="61"/>
        <v>75.49999999999946</v>
      </c>
      <c r="J193" s="216">
        <f t="shared" ca="1" si="84"/>
        <v>62856.639291942876</v>
      </c>
      <c r="K193" s="216">
        <f t="shared" ca="1" si="85"/>
        <v>10999911.876089988</v>
      </c>
      <c r="M193" s="217">
        <f t="shared" si="63"/>
        <v>75.49999999999946</v>
      </c>
      <c r="N193" s="217">
        <f t="shared" ca="1" si="86"/>
        <v>0</v>
      </c>
      <c r="O193" s="216">
        <f t="shared" ca="1" si="87"/>
        <v>76363.675936010943</v>
      </c>
      <c r="P193" s="216">
        <f t="shared" ca="1" si="88"/>
        <v>13189349.939865977</v>
      </c>
      <c r="R193" s="217">
        <f t="shared" si="66"/>
        <v>75.49999999999946</v>
      </c>
      <c r="S193" s="240">
        <f t="shared" ca="1" si="89"/>
        <v>62856.639291942876</v>
      </c>
      <c r="T193" s="240">
        <f t="shared" ca="1" si="90"/>
        <v>10999911.876089988</v>
      </c>
      <c r="V193" s="217">
        <f t="shared" si="68"/>
        <v>75.49999999999946</v>
      </c>
      <c r="W193" s="217">
        <f t="shared" ca="1" si="91"/>
        <v>0</v>
      </c>
      <c r="X193" s="240">
        <f t="shared" ca="1" si="92"/>
        <v>76363.675936010943</v>
      </c>
      <c r="Y193" s="240">
        <f t="shared" ca="1" si="93"/>
        <v>13162341.04293061</v>
      </c>
      <c r="AF193" s="210">
        <f>ROW()</f>
        <v>193</v>
      </c>
      <c r="AG193" s="217">
        <f t="shared" si="74"/>
        <v>75.49999999999946</v>
      </c>
      <c r="AH193" s="217">
        <f t="shared" ca="1" si="79"/>
        <v>0</v>
      </c>
      <c r="AI193" s="217">
        <f ca="1">IF(AH192&lt;&gt;0,FINANCIAMIENTO!$F$5,0)</f>
        <v>0</v>
      </c>
      <c r="AJ193" s="240" t="b">
        <f t="shared" ca="1" si="76"/>
        <v>0</v>
      </c>
      <c r="AK193" s="240">
        <f t="shared" ca="1" si="80"/>
        <v>0</v>
      </c>
      <c r="AL193" s="240">
        <f t="shared" ca="1" si="81"/>
        <v>76363.675936010943</v>
      </c>
      <c r="AM193" s="240">
        <f t="shared" ca="1" si="82"/>
        <v>76363.675936010943</v>
      </c>
      <c r="AN193" s="240">
        <f t="shared" ca="1" si="83"/>
        <v>12672708.501988858</v>
      </c>
    </row>
    <row r="194" spans="9:40">
      <c r="I194" s="217">
        <f t="shared" si="61"/>
        <v>75.583333333332789</v>
      </c>
      <c r="J194" s="216">
        <f t="shared" ca="1" si="84"/>
        <v>62856.639291942876</v>
      </c>
      <c r="K194" s="216">
        <f t="shared" ca="1" si="85"/>
        <v>11062768.51538193</v>
      </c>
      <c r="M194" s="217">
        <f t="shared" si="63"/>
        <v>75.583333333332789</v>
      </c>
      <c r="N194" s="217">
        <f t="shared" ca="1" si="86"/>
        <v>0</v>
      </c>
      <c r="O194" s="216">
        <f t="shared" ca="1" si="87"/>
        <v>76363.675936010943</v>
      </c>
      <c r="P194" s="216">
        <f t="shared" ca="1" si="88"/>
        <v>13265713.615801988</v>
      </c>
      <c r="R194" s="217">
        <f t="shared" si="66"/>
        <v>75.583333333332789</v>
      </c>
      <c r="S194" s="240">
        <f t="shared" ca="1" si="89"/>
        <v>62856.639291942876</v>
      </c>
      <c r="T194" s="240">
        <f t="shared" ca="1" si="90"/>
        <v>11062768.51538193</v>
      </c>
      <c r="V194" s="217">
        <f t="shared" si="68"/>
        <v>75.583333333332789</v>
      </c>
      <c r="W194" s="217">
        <f t="shared" ca="1" si="91"/>
        <v>0</v>
      </c>
      <c r="X194" s="240">
        <f t="shared" ca="1" si="92"/>
        <v>76363.675936010943</v>
      </c>
      <c r="Y194" s="240">
        <f t="shared" ca="1" si="93"/>
        <v>13238704.718866622</v>
      </c>
      <c r="AF194" s="210">
        <f>ROW()</f>
        <v>194</v>
      </c>
      <c r="AG194" s="217">
        <f t="shared" si="74"/>
        <v>75.583333333332789</v>
      </c>
      <c r="AH194" s="217">
        <f t="shared" ca="1" si="79"/>
        <v>0</v>
      </c>
      <c r="AI194" s="217">
        <f ca="1">IF(AH193&lt;&gt;0,FINANCIAMIENTO!$F$5,0)</f>
        <v>0</v>
      </c>
      <c r="AJ194" s="240" t="b">
        <f t="shared" ca="1" si="76"/>
        <v>0</v>
      </c>
      <c r="AK194" s="240">
        <f t="shared" ca="1" si="80"/>
        <v>0</v>
      </c>
      <c r="AL194" s="240">
        <f t="shared" ca="1" si="81"/>
        <v>76363.675936010943</v>
      </c>
      <c r="AM194" s="240">
        <f t="shared" ca="1" si="82"/>
        <v>76363.675936010943</v>
      </c>
      <c r="AN194" s="240">
        <f t="shared" ca="1" si="83"/>
        <v>12749072.17792487</v>
      </c>
    </row>
    <row r="195" spans="9:40">
      <c r="I195" s="217">
        <f t="shared" si="61"/>
        <v>75.666666666666117</v>
      </c>
      <c r="J195" s="216">
        <f t="shared" ca="1" si="84"/>
        <v>62856.639291942876</v>
      </c>
      <c r="K195" s="216">
        <f t="shared" ca="1" si="85"/>
        <v>11125625.154673873</v>
      </c>
      <c r="M195" s="217">
        <f t="shared" si="63"/>
        <v>75.666666666666117</v>
      </c>
      <c r="N195" s="217">
        <f t="shared" ca="1" si="86"/>
        <v>0</v>
      </c>
      <c r="O195" s="216">
        <f t="shared" ca="1" si="87"/>
        <v>76363.675936010943</v>
      </c>
      <c r="P195" s="216">
        <f t="shared" ca="1" si="88"/>
        <v>13342077.291738</v>
      </c>
      <c r="R195" s="217">
        <f t="shared" si="66"/>
        <v>75.666666666666117</v>
      </c>
      <c r="S195" s="240">
        <f t="shared" ca="1" si="89"/>
        <v>62856.639291942876</v>
      </c>
      <c r="T195" s="240">
        <f t="shared" ca="1" si="90"/>
        <v>11125625.154673873</v>
      </c>
      <c r="V195" s="217">
        <f t="shared" si="68"/>
        <v>75.666666666666117</v>
      </c>
      <c r="W195" s="217">
        <f t="shared" ca="1" si="91"/>
        <v>0</v>
      </c>
      <c r="X195" s="240">
        <f t="shared" ca="1" si="92"/>
        <v>76363.675936010943</v>
      </c>
      <c r="Y195" s="240">
        <f t="shared" ca="1" si="93"/>
        <v>13315068.394802634</v>
      </c>
      <c r="AF195" s="210">
        <f>ROW()</f>
        <v>195</v>
      </c>
      <c r="AG195" s="217">
        <f t="shared" si="74"/>
        <v>75.666666666666117</v>
      </c>
      <c r="AH195" s="217">
        <f t="shared" ca="1" si="79"/>
        <v>0</v>
      </c>
      <c r="AI195" s="217">
        <f ca="1">IF(AH194&lt;&gt;0,FINANCIAMIENTO!$F$5,0)</f>
        <v>0</v>
      </c>
      <c r="AJ195" s="240" t="b">
        <f t="shared" ca="1" si="76"/>
        <v>0</v>
      </c>
      <c r="AK195" s="240">
        <f t="shared" ca="1" si="80"/>
        <v>0</v>
      </c>
      <c r="AL195" s="240">
        <f t="shared" ca="1" si="81"/>
        <v>76363.675936010943</v>
      </c>
      <c r="AM195" s="240">
        <f t="shared" ca="1" si="82"/>
        <v>76363.675936010943</v>
      </c>
      <c r="AN195" s="240">
        <f t="shared" ca="1" si="83"/>
        <v>12825435.853860881</v>
      </c>
    </row>
    <row r="196" spans="9:40">
      <c r="I196" s="217">
        <f t="shared" si="61"/>
        <v>75.749999999999446</v>
      </c>
      <c r="J196" s="216">
        <f t="shared" ca="1" si="84"/>
        <v>62856.639291942876</v>
      </c>
      <c r="K196" s="216">
        <f t="shared" ca="1" si="85"/>
        <v>11188481.793965815</v>
      </c>
      <c r="M196" s="217">
        <f t="shared" si="63"/>
        <v>75.749999999999446</v>
      </c>
      <c r="N196" s="217">
        <f t="shared" ca="1" si="86"/>
        <v>0</v>
      </c>
      <c r="O196" s="216">
        <f t="shared" ca="1" si="87"/>
        <v>76363.675936010943</v>
      </c>
      <c r="P196" s="216">
        <f t="shared" ca="1" si="88"/>
        <v>13418440.967674011</v>
      </c>
      <c r="R196" s="217">
        <f t="shared" si="66"/>
        <v>75.749999999999446</v>
      </c>
      <c r="S196" s="240">
        <f t="shared" ca="1" si="89"/>
        <v>62856.639291942876</v>
      </c>
      <c r="T196" s="240">
        <f t="shared" ca="1" si="90"/>
        <v>11188481.793965815</v>
      </c>
      <c r="V196" s="217">
        <f t="shared" si="68"/>
        <v>75.749999999999446</v>
      </c>
      <c r="W196" s="217">
        <f t="shared" ca="1" si="91"/>
        <v>0</v>
      </c>
      <c r="X196" s="240">
        <f t="shared" ca="1" si="92"/>
        <v>76363.675936010943</v>
      </c>
      <c r="Y196" s="240">
        <f t="shared" ca="1" si="93"/>
        <v>13391432.070738645</v>
      </c>
      <c r="AF196" s="210">
        <f>ROW()</f>
        <v>196</v>
      </c>
      <c r="AG196" s="217">
        <f t="shared" si="74"/>
        <v>75.749999999999446</v>
      </c>
      <c r="AH196" s="217">
        <f t="shared" ca="1" si="79"/>
        <v>0</v>
      </c>
      <c r="AI196" s="217">
        <f ca="1">IF(AH195&lt;&gt;0,FINANCIAMIENTO!$F$5,0)</f>
        <v>0</v>
      </c>
      <c r="AJ196" s="240" t="b">
        <f t="shared" ca="1" si="76"/>
        <v>0</v>
      </c>
      <c r="AK196" s="240">
        <f t="shared" ca="1" si="80"/>
        <v>0</v>
      </c>
      <c r="AL196" s="240">
        <f t="shared" ca="1" si="81"/>
        <v>76363.675936010943</v>
      </c>
      <c r="AM196" s="240">
        <f t="shared" ca="1" si="82"/>
        <v>76363.675936010943</v>
      </c>
      <c r="AN196" s="240">
        <f t="shared" ca="1" si="83"/>
        <v>12901799.529796893</v>
      </c>
    </row>
    <row r="197" spans="9:40">
      <c r="I197" s="217">
        <f t="shared" si="61"/>
        <v>75.833333333332774</v>
      </c>
      <c r="J197" s="216">
        <f t="shared" ca="1" si="84"/>
        <v>62856.639291942876</v>
      </c>
      <c r="K197" s="216">
        <f t="shared" ca="1" si="85"/>
        <v>11251338.433257757</v>
      </c>
      <c r="M197" s="217">
        <f t="shared" si="63"/>
        <v>75.833333333332774</v>
      </c>
      <c r="N197" s="217">
        <f t="shared" ca="1" si="86"/>
        <v>0</v>
      </c>
      <c r="O197" s="216">
        <f t="shared" ca="1" si="87"/>
        <v>76363.675936010943</v>
      </c>
      <c r="P197" s="216">
        <f t="shared" ca="1" si="88"/>
        <v>13494804.643610023</v>
      </c>
      <c r="R197" s="217">
        <f t="shared" si="66"/>
        <v>75.833333333332774</v>
      </c>
      <c r="S197" s="240">
        <f t="shared" ca="1" si="89"/>
        <v>62856.639291942876</v>
      </c>
      <c r="T197" s="240">
        <f t="shared" ca="1" si="90"/>
        <v>11251338.433257757</v>
      </c>
      <c r="V197" s="217">
        <f t="shared" si="68"/>
        <v>75.833333333332774</v>
      </c>
      <c r="W197" s="217">
        <f t="shared" ca="1" si="91"/>
        <v>0</v>
      </c>
      <c r="X197" s="240">
        <f t="shared" ca="1" si="92"/>
        <v>76363.675936010943</v>
      </c>
      <c r="Y197" s="240">
        <f t="shared" ca="1" si="93"/>
        <v>13467795.746674657</v>
      </c>
      <c r="AF197" s="210">
        <f>ROW()</f>
        <v>197</v>
      </c>
      <c r="AG197" s="217">
        <f t="shared" si="74"/>
        <v>75.833333333332774</v>
      </c>
      <c r="AH197" s="217">
        <f t="shared" ca="1" si="79"/>
        <v>0</v>
      </c>
      <c r="AI197" s="217">
        <f ca="1">IF(AH196&lt;&gt;0,FINANCIAMIENTO!$F$5,0)</f>
        <v>0</v>
      </c>
      <c r="AJ197" s="240" t="b">
        <f t="shared" ca="1" si="76"/>
        <v>0</v>
      </c>
      <c r="AK197" s="240">
        <f t="shared" ca="1" si="80"/>
        <v>0</v>
      </c>
      <c r="AL197" s="240">
        <f t="shared" ca="1" si="81"/>
        <v>76363.675936010943</v>
      </c>
      <c r="AM197" s="240">
        <f t="shared" ca="1" si="82"/>
        <v>76363.675936010943</v>
      </c>
      <c r="AN197" s="240">
        <f t="shared" ca="1" si="83"/>
        <v>12978163.205732904</v>
      </c>
    </row>
    <row r="198" spans="9:40">
      <c r="I198" s="217">
        <f t="shared" si="61"/>
        <v>75.916666666666103</v>
      </c>
      <c r="J198" s="216">
        <f t="shared" ca="1" si="84"/>
        <v>62856.639291942876</v>
      </c>
      <c r="K198" s="216">
        <f t="shared" ca="1" si="85"/>
        <v>11314195.072549699</v>
      </c>
      <c r="M198" s="217">
        <f t="shared" si="63"/>
        <v>75.916666666666103</v>
      </c>
      <c r="N198" s="217">
        <f t="shared" ca="1" si="86"/>
        <v>0</v>
      </c>
      <c r="O198" s="216">
        <f t="shared" ca="1" si="87"/>
        <v>76363.675936010943</v>
      </c>
      <c r="P198" s="216">
        <f t="shared" ca="1" si="88"/>
        <v>13571168.319546035</v>
      </c>
      <c r="R198" s="217">
        <f t="shared" si="66"/>
        <v>75.916666666666103</v>
      </c>
      <c r="S198" s="240">
        <f t="shared" ca="1" si="89"/>
        <v>62856.639291942876</v>
      </c>
      <c r="T198" s="240">
        <f t="shared" ca="1" si="90"/>
        <v>11314195.072549699</v>
      </c>
      <c r="V198" s="217">
        <f t="shared" si="68"/>
        <v>75.916666666666103</v>
      </c>
      <c r="W198" s="217">
        <f t="shared" ca="1" si="91"/>
        <v>0</v>
      </c>
      <c r="X198" s="240">
        <f t="shared" ca="1" si="92"/>
        <v>76363.675936010943</v>
      </c>
      <c r="Y198" s="240">
        <f t="shared" ca="1" si="93"/>
        <v>13544159.422610668</v>
      </c>
      <c r="AF198" s="210">
        <f>ROW()</f>
        <v>198</v>
      </c>
      <c r="AG198" s="217">
        <f t="shared" si="74"/>
        <v>75.916666666666103</v>
      </c>
      <c r="AH198" s="217">
        <f t="shared" ca="1" si="79"/>
        <v>0</v>
      </c>
      <c r="AI198" s="217">
        <f ca="1">IF(AH197&lt;&gt;0,FINANCIAMIENTO!$F$5,0)</f>
        <v>0</v>
      </c>
      <c r="AJ198" s="240" t="b">
        <f t="shared" ca="1" si="76"/>
        <v>0</v>
      </c>
      <c r="AK198" s="240">
        <f t="shared" ca="1" si="80"/>
        <v>0</v>
      </c>
      <c r="AL198" s="240">
        <f t="shared" ca="1" si="81"/>
        <v>76363.675936010943</v>
      </c>
      <c r="AM198" s="240">
        <f t="shared" ca="1" si="82"/>
        <v>76363.675936010943</v>
      </c>
      <c r="AN198" s="240">
        <f t="shared" ca="1" si="83"/>
        <v>13054526.881668916</v>
      </c>
    </row>
    <row r="199" spans="9:40">
      <c r="I199" s="217">
        <f t="shared" si="61"/>
        <v>75.999999999999432</v>
      </c>
      <c r="J199" s="216">
        <f t="shared" ca="1" si="84"/>
        <v>62856.639291942876</v>
      </c>
      <c r="K199" s="216">
        <f t="shared" ca="1" si="85"/>
        <v>11377051.711841641</v>
      </c>
      <c r="M199" s="217">
        <f t="shared" si="63"/>
        <v>75.999999999999432</v>
      </c>
      <c r="N199" s="217">
        <f t="shared" ca="1" si="86"/>
        <v>0</v>
      </c>
      <c r="O199" s="216">
        <f t="shared" ca="1" si="87"/>
        <v>76363.675936010943</v>
      </c>
      <c r="P199" s="216">
        <f t="shared" ca="1" si="88"/>
        <v>13647531.995482046</v>
      </c>
      <c r="R199" s="217">
        <f t="shared" si="66"/>
        <v>75.999999999999432</v>
      </c>
      <c r="S199" s="240">
        <f t="shared" ca="1" si="89"/>
        <v>62856.639291942876</v>
      </c>
      <c r="T199" s="240">
        <f t="shared" ca="1" si="90"/>
        <v>11377051.711841641</v>
      </c>
      <c r="V199" s="217">
        <f t="shared" si="68"/>
        <v>75.999999999999432</v>
      </c>
      <c r="W199" s="217">
        <f t="shared" ca="1" si="91"/>
        <v>0</v>
      </c>
      <c r="X199" s="240">
        <f t="shared" ca="1" si="92"/>
        <v>76363.675936010943</v>
      </c>
      <c r="Y199" s="240">
        <f t="shared" ca="1" si="93"/>
        <v>13620523.09854668</v>
      </c>
      <c r="AF199" s="210">
        <f>ROW()</f>
        <v>199</v>
      </c>
      <c r="AG199" s="217">
        <f t="shared" si="74"/>
        <v>75.999999999999432</v>
      </c>
      <c r="AH199" s="217">
        <f t="shared" ca="1" si="79"/>
        <v>0</v>
      </c>
      <c r="AI199" s="217">
        <f ca="1">IF(AH198&lt;&gt;0,FINANCIAMIENTO!$F$5,0)</f>
        <v>0</v>
      </c>
      <c r="AJ199" s="240" t="b">
        <f t="shared" ca="1" si="76"/>
        <v>0</v>
      </c>
      <c r="AK199" s="240">
        <f t="shared" ca="1" si="80"/>
        <v>0</v>
      </c>
      <c r="AL199" s="240">
        <f t="shared" ca="1" si="81"/>
        <v>76363.675936010943</v>
      </c>
      <c r="AM199" s="240">
        <f t="shared" ca="1" si="82"/>
        <v>76363.675936010943</v>
      </c>
      <c r="AN199" s="240">
        <f t="shared" ca="1" si="83"/>
        <v>13130890.557604928</v>
      </c>
    </row>
    <row r="200" spans="9:40">
      <c r="I200" s="217">
        <f t="shared" si="61"/>
        <v>76.08333333333276</v>
      </c>
      <c r="J200" s="216">
        <f t="shared" ca="1" si="84"/>
        <v>62856.639291942876</v>
      </c>
      <c r="K200" s="216">
        <f t="shared" ca="1" si="85"/>
        <v>11439908.351133583</v>
      </c>
      <c r="M200" s="217">
        <f t="shared" si="63"/>
        <v>76.08333333333276</v>
      </c>
      <c r="N200" s="217">
        <f t="shared" ca="1" si="86"/>
        <v>0</v>
      </c>
      <c r="O200" s="216">
        <f t="shared" ca="1" si="87"/>
        <v>76363.675936010943</v>
      </c>
      <c r="P200" s="216">
        <f t="shared" ca="1" si="88"/>
        <v>13723895.671418058</v>
      </c>
      <c r="R200" s="217">
        <f t="shared" si="66"/>
        <v>76.08333333333276</v>
      </c>
      <c r="S200" s="240">
        <f t="shared" ca="1" si="89"/>
        <v>62856.639291942876</v>
      </c>
      <c r="T200" s="240">
        <f t="shared" ca="1" si="90"/>
        <v>11439908.351133583</v>
      </c>
      <c r="V200" s="217">
        <f t="shared" si="68"/>
        <v>76.08333333333276</v>
      </c>
      <c r="W200" s="217">
        <f t="shared" ca="1" si="91"/>
        <v>0</v>
      </c>
      <c r="X200" s="240">
        <f t="shared" ca="1" si="92"/>
        <v>76363.675936010943</v>
      </c>
      <c r="Y200" s="240">
        <f t="shared" ca="1" si="93"/>
        <v>13696886.774482692</v>
      </c>
      <c r="AF200" s="210">
        <f>ROW()</f>
        <v>200</v>
      </c>
      <c r="AG200" s="217">
        <f t="shared" si="74"/>
        <v>76.08333333333276</v>
      </c>
      <c r="AH200" s="217">
        <f t="shared" ca="1" si="79"/>
        <v>0</v>
      </c>
      <c r="AI200" s="217">
        <f ca="1">IF(AH199&lt;&gt;0,FINANCIAMIENTO!$F$5,0)</f>
        <v>0</v>
      </c>
      <c r="AJ200" s="240" t="b">
        <f t="shared" ca="1" si="76"/>
        <v>0</v>
      </c>
      <c r="AK200" s="240">
        <f t="shared" ca="1" si="80"/>
        <v>0</v>
      </c>
      <c r="AL200" s="240">
        <f t="shared" ca="1" si="81"/>
        <v>76363.675936010943</v>
      </c>
      <c r="AM200" s="240">
        <f t="shared" ca="1" si="82"/>
        <v>76363.675936010943</v>
      </c>
      <c r="AN200" s="240">
        <f t="shared" ca="1" si="83"/>
        <v>13207254.233540939</v>
      </c>
    </row>
    <row r="201" spans="9:40">
      <c r="I201" s="217">
        <f t="shared" ref="I201:I247" si="94">+I200+$J$4</f>
        <v>76.166666666666089</v>
      </c>
      <c r="J201" s="216">
        <f t="shared" ca="1" si="84"/>
        <v>62856.639291942876</v>
      </c>
      <c r="K201" s="216">
        <f t="shared" ca="1" si="85"/>
        <v>11502764.990425525</v>
      </c>
      <c r="M201" s="217">
        <f t="shared" ref="M201:M247" si="95">+M200+$J$4</f>
        <v>76.166666666666089</v>
      </c>
      <c r="N201" s="217">
        <f t="shared" ca="1" si="86"/>
        <v>0</v>
      </c>
      <c r="O201" s="216">
        <f t="shared" ca="1" si="87"/>
        <v>76363.675936010943</v>
      </c>
      <c r="P201" s="216">
        <f t="shared" ca="1" si="88"/>
        <v>13800259.347354069</v>
      </c>
      <c r="R201" s="217">
        <f t="shared" ref="R201:R247" si="96">+R200+$J$4</f>
        <v>76.166666666666089</v>
      </c>
      <c r="S201" s="240">
        <f t="shared" ca="1" si="89"/>
        <v>62856.639291942876</v>
      </c>
      <c r="T201" s="240">
        <f t="shared" ca="1" si="90"/>
        <v>11502764.990425525</v>
      </c>
      <c r="V201" s="217">
        <f t="shared" ref="V201:V247" si="97">+V200+$J$4</f>
        <v>76.166666666666089</v>
      </c>
      <c r="W201" s="217">
        <f t="shared" ca="1" si="91"/>
        <v>0</v>
      </c>
      <c r="X201" s="240">
        <f t="shared" ca="1" si="92"/>
        <v>76363.675936010943</v>
      </c>
      <c r="Y201" s="240">
        <f t="shared" ca="1" si="93"/>
        <v>13773250.450418703</v>
      </c>
      <c r="AF201" s="210">
        <f>ROW()</f>
        <v>201</v>
      </c>
      <c r="AG201" s="217">
        <f t="shared" ref="AG201:AG247" si="98">+AG200+$J$4</f>
        <v>76.166666666666089</v>
      </c>
      <c r="AH201" s="217">
        <f t="shared" ca="1" si="79"/>
        <v>0</v>
      </c>
      <c r="AI201" s="217">
        <f ca="1">IF(AH200&lt;&gt;0,FINANCIAMIENTO!$F$5,0)</f>
        <v>0</v>
      </c>
      <c r="AJ201" s="240" t="b">
        <f t="shared" ca="1" si="76"/>
        <v>0</v>
      </c>
      <c r="AK201" s="240">
        <f t="shared" ca="1" si="80"/>
        <v>0</v>
      </c>
      <c r="AL201" s="240">
        <f t="shared" ca="1" si="81"/>
        <v>76363.675936010943</v>
      </c>
      <c r="AM201" s="240">
        <f t="shared" ca="1" si="82"/>
        <v>76363.675936010943</v>
      </c>
      <c r="AN201" s="240">
        <f t="shared" ca="1" si="83"/>
        <v>13283617.909476951</v>
      </c>
    </row>
    <row r="202" spans="9:40">
      <c r="I202" s="217">
        <f t="shared" si="94"/>
        <v>76.249999999999417</v>
      </c>
      <c r="J202" s="216">
        <f t="shared" ca="1" si="84"/>
        <v>62856.639291942876</v>
      </c>
      <c r="K202" s="216">
        <f t="shared" ca="1" si="85"/>
        <v>11565621.629717467</v>
      </c>
      <c r="M202" s="217">
        <f t="shared" si="95"/>
        <v>76.249999999999417</v>
      </c>
      <c r="N202" s="217">
        <f t="shared" ca="1" si="86"/>
        <v>0</v>
      </c>
      <c r="O202" s="216">
        <f t="shared" ca="1" si="87"/>
        <v>76363.675936010943</v>
      </c>
      <c r="P202" s="216">
        <f t="shared" ca="1" si="88"/>
        <v>13876623.023290081</v>
      </c>
      <c r="R202" s="217">
        <f t="shared" si="96"/>
        <v>76.249999999999417</v>
      </c>
      <c r="S202" s="240">
        <f t="shared" ca="1" si="89"/>
        <v>62856.639291942876</v>
      </c>
      <c r="T202" s="240">
        <f t="shared" ca="1" si="90"/>
        <v>11565621.629717467</v>
      </c>
      <c r="V202" s="217">
        <f t="shared" si="97"/>
        <v>76.249999999999417</v>
      </c>
      <c r="W202" s="217">
        <f t="shared" ca="1" si="91"/>
        <v>0</v>
      </c>
      <c r="X202" s="240">
        <f t="shared" ca="1" si="92"/>
        <v>76363.675936010943</v>
      </c>
      <c r="Y202" s="240">
        <f t="shared" ca="1" si="93"/>
        <v>13849614.126354715</v>
      </c>
      <c r="AF202" s="210">
        <f>ROW()</f>
        <v>202</v>
      </c>
      <c r="AG202" s="217">
        <f t="shared" si="98"/>
        <v>76.249999999999417</v>
      </c>
      <c r="AH202" s="217">
        <f t="shared" ca="1" si="79"/>
        <v>0</v>
      </c>
      <c r="AI202" s="217">
        <f ca="1">IF(AH201&lt;&gt;0,FINANCIAMIENTO!$F$5,0)</f>
        <v>0</v>
      </c>
      <c r="AJ202" s="240" t="b">
        <f t="shared" ca="1" si="76"/>
        <v>0</v>
      </c>
      <c r="AK202" s="240">
        <f t="shared" ca="1" si="80"/>
        <v>0</v>
      </c>
      <c r="AL202" s="240">
        <f t="shared" ca="1" si="81"/>
        <v>76363.675936010943</v>
      </c>
      <c r="AM202" s="240">
        <f t="shared" ca="1" si="82"/>
        <v>76363.675936010943</v>
      </c>
      <c r="AN202" s="240">
        <f t="shared" ca="1" si="83"/>
        <v>13359981.585412962</v>
      </c>
    </row>
    <row r="203" spans="9:40">
      <c r="I203" s="217">
        <f t="shared" si="94"/>
        <v>76.333333333332746</v>
      </c>
      <c r="J203" s="216">
        <f t="shared" ca="1" si="84"/>
        <v>62856.639291942876</v>
      </c>
      <c r="K203" s="216">
        <f t="shared" ca="1" si="85"/>
        <v>11628478.269009409</v>
      </c>
      <c r="M203" s="217">
        <f t="shared" si="95"/>
        <v>76.333333333332746</v>
      </c>
      <c r="N203" s="217">
        <f t="shared" ca="1" si="86"/>
        <v>0</v>
      </c>
      <c r="O203" s="216">
        <f t="shared" ca="1" si="87"/>
        <v>76363.675936010943</v>
      </c>
      <c r="P203" s="216">
        <f t="shared" ca="1" si="88"/>
        <v>13952986.699226093</v>
      </c>
      <c r="R203" s="217">
        <f t="shared" si="96"/>
        <v>76.333333333332746</v>
      </c>
      <c r="S203" s="240">
        <f t="shared" ca="1" si="89"/>
        <v>62856.639291942876</v>
      </c>
      <c r="T203" s="240">
        <f t="shared" ca="1" si="90"/>
        <v>11628478.269009409</v>
      </c>
      <c r="V203" s="217">
        <f t="shared" si="97"/>
        <v>76.333333333332746</v>
      </c>
      <c r="W203" s="217">
        <f t="shared" ca="1" si="91"/>
        <v>0</v>
      </c>
      <c r="X203" s="240">
        <f t="shared" ca="1" si="92"/>
        <v>76363.675936010943</v>
      </c>
      <c r="Y203" s="240">
        <f t="shared" ca="1" si="93"/>
        <v>13925977.802290726</v>
      </c>
      <c r="AF203" s="210">
        <f>ROW()</f>
        <v>203</v>
      </c>
      <c r="AG203" s="217">
        <f t="shared" si="98"/>
        <v>76.333333333332746</v>
      </c>
      <c r="AH203" s="217">
        <f t="shared" ca="1" si="79"/>
        <v>0</v>
      </c>
      <c r="AI203" s="217">
        <f ca="1">IF(AH202&lt;&gt;0,FINANCIAMIENTO!$F$5,0)</f>
        <v>0</v>
      </c>
      <c r="AJ203" s="240" t="b">
        <f t="shared" ca="1" si="76"/>
        <v>0</v>
      </c>
      <c r="AK203" s="240">
        <f t="shared" ca="1" si="80"/>
        <v>0</v>
      </c>
      <c r="AL203" s="240">
        <f t="shared" ca="1" si="81"/>
        <v>76363.675936010943</v>
      </c>
      <c r="AM203" s="240">
        <f t="shared" ca="1" si="82"/>
        <v>76363.675936010943</v>
      </c>
      <c r="AN203" s="240">
        <f t="shared" ca="1" si="83"/>
        <v>13436345.261348974</v>
      </c>
    </row>
    <row r="204" spans="9:40">
      <c r="I204" s="217">
        <f t="shared" si="94"/>
        <v>76.416666666666075</v>
      </c>
      <c r="J204" s="216">
        <f t="shared" ca="1" si="84"/>
        <v>62856.639291942876</v>
      </c>
      <c r="K204" s="216">
        <f t="shared" ca="1" si="85"/>
        <v>11691334.908301352</v>
      </c>
      <c r="M204" s="217">
        <f t="shared" si="95"/>
        <v>76.416666666666075</v>
      </c>
      <c r="N204" s="217">
        <f t="shared" ca="1" si="86"/>
        <v>0</v>
      </c>
      <c r="O204" s="216">
        <f t="shared" ca="1" si="87"/>
        <v>76363.675936010943</v>
      </c>
      <c r="P204" s="216">
        <f t="shared" ca="1" si="88"/>
        <v>14029350.375162104</v>
      </c>
      <c r="R204" s="217">
        <f t="shared" si="96"/>
        <v>76.416666666666075</v>
      </c>
      <c r="S204" s="240">
        <f t="shared" ca="1" si="89"/>
        <v>62856.639291942876</v>
      </c>
      <c r="T204" s="240">
        <f t="shared" ca="1" si="90"/>
        <v>11691334.908301352</v>
      </c>
      <c r="V204" s="217">
        <f t="shared" si="97"/>
        <v>76.416666666666075</v>
      </c>
      <c r="W204" s="217">
        <f t="shared" ca="1" si="91"/>
        <v>0</v>
      </c>
      <c r="X204" s="240">
        <f t="shared" ca="1" si="92"/>
        <v>76363.675936010943</v>
      </c>
      <c r="Y204" s="240">
        <f t="shared" ca="1" si="93"/>
        <v>14002341.478226738</v>
      </c>
      <c r="AF204" s="210">
        <f>ROW()</f>
        <v>204</v>
      </c>
      <c r="AG204" s="217">
        <f t="shared" si="98"/>
        <v>76.416666666666075</v>
      </c>
      <c r="AH204" s="217">
        <f t="shared" ca="1" si="79"/>
        <v>0</v>
      </c>
      <c r="AI204" s="217">
        <f ca="1">IF(AH203&lt;&gt;0,FINANCIAMIENTO!$F$5,0)</f>
        <v>0</v>
      </c>
      <c r="AJ204" s="240" t="b">
        <f t="shared" ca="1" si="76"/>
        <v>0</v>
      </c>
      <c r="AK204" s="240">
        <f t="shared" ca="1" si="80"/>
        <v>0</v>
      </c>
      <c r="AL204" s="240">
        <f t="shared" ca="1" si="81"/>
        <v>76363.675936010943</v>
      </c>
      <c r="AM204" s="240">
        <f t="shared" ca="1" si="82"/>
        <v>76363.675936010943</v>
      </c>
      <c r="AN204" s="240">
        <f t="shared" ca="1" si="83"/>
        <v>13512708.937284986</v>
      </c>
    </row>
    <row r="205" spans="9:40">
      <c r="I205" s="217">
        <f t="shared" si="94"/>
        <v>76.499999999999403</v>
      </c>
      <c r="J205" s="216">
        <f t="shared" ca="1" si="84"/>
        <v>62856.639291942876</v>
      </c>
      <c r="K205" s="216">
        <f t="shared" ca="1" si="85"/>
        <v>11754191.547593294</v>
      </c>
      <c r="M205" s="217">
        <f t="shared" si="95"/>
        <v>76.499999999999403</v>
      </c>
      <c r="N205" s="217">
        <f t="shared" ca="1" si="86"/>
        <v>0</v>
      </c>
      <c r="O205" s="216">
        <f t="shared" ca="1" si="87"/>
        <v>76363.675936010943</v>
      </c>
      <c r="P205" s="216">
        <f t="shared" ca="1" si="88"/>
        <v>14105714.051098116</v>
      </c>
      <c r="R205" s="217">
        <f t="shared" si="96"/>
        <v>76.499999999999403</v>
      </c>
      <c r="S205" s="240">
        <f t="shared" ca="1" si="89"/>
        <v>62856.639291942876</v>
      </c>
      <c r="T205" s="240">
        <f t="shared" ca="1" si="90"/>
        <v>11754191.547593294</v>
      </c>
      <c r="V205" s="217">
        <f t="shared" si="97"/>
        <v>76.499999999999403</v>
      </c>
      <c r="W205" s="217">
        <f t="shared" ca="1" si="91"/>
        <v>0</v>
      </c>
      <c r="X205" s="240">
        <f t="shared" ca="1" si="92"/>
        <v>76363.675936010943</v>
      </c>
      <c r="Y205" s="240">
        <f t="shared" ca="1" si="93"/>
        <v>14078705.15416275</v>
      </c>
      <c r="AF205" s="210">
        <f>ROW()</f>
        <v>205</v>
      </c>
      <c r="AG205" s="217">
        <f t="shared" si="98"/>
        <v>76.499999999999403</v>
      </c>
      <c r="AH205" s="217">
        <f t="shared" ca="1" si="79"/>
        <v>0</v>
      </c>
      <c r="AI205" s="217">
        <f ca="1">IF(AH204&lt;&gt;0,FINANCIAMIENTO!$F$5,0)</f>
        <v>0</v>
      </c>
      <c r="AJ205" s="240" t="b">
        <f t="shared" ca="1" si="76"/>
        <v>0</v>
      </c>
      <c r="AK205" s="240">
        <f t="shared" ca="1" si="80"/>
        <v>0</v>
      </c>
      <c r="AL205" s="240">
        <f t="shared" ca="1" si="81"/>
        <v>76363.675936010943</v>
      </c>
      <c r="AM205" s="240">
        <f t="shared" ca="1" si="82"/>
        <v>76363.675936010943</v>
      </c>
      <c r="AN205" s="240">
        <f t="shared" ca="1" si="83"/>
        <v>13589072.613220997</v>
      </c>
    </row>
    <row r="206" spans="9:40">
      <c r="I206" s="217">
        <f t="shared" si="94"/>
        <v>76.583333333332732</v>
      </c>
      <c r="J206" s="216">
        <f t="shared" ca="1" si="84"/>
        <v>62856.639291942876</v>
      </c>
      <c r="K206" s="216">
        <f t="shared" ca="1" si="85"/>
        <v>11817048.186885236</v>
      </c>
      <c r="M206" s="217">
        <f t="shared" si="95"/>
        <v>76.583333333332732</v>
      </c>
      <c r="N206" s="217">
        <f t="shared" ca="1" si="86"/>
        <v>0</v>
      </c>
      <c r="O206" s="216">
        <f t="shared" ca="1" si="87"/>
        <v>76363.675936010943</v>
      </c>
      <c r="P206" s="216">
        <f t="shared" ca="1" si="88"/>
        <v>14182077.727034127</v>
      </c>
      <c r="R206" s="217">
        <f t="shared" si="96"/>
        <v>76.583333333332732</v>
      </c>
      <c r="S206" s="240">
        <f t="shared" ca="1" si="89"/>
        <v>62856.639291942876</v>
      </c>
      <c r="T206" s="240">
        <f t="shared" ca="1" si="90"/>
        <v>11817048.186885236</v>
      </c>
      <c r="V206" s="217">
        <f t="shared" si="97"/>
        <v>76.583333333332732</v>
      </c>
      <c r="W206" s="217">
        <f t="shared" ca="1" si="91"/>
        <v>0</v>
      </c>
      <c r="X206" s="240">
        <f t="shared" ca="1" si="92"/>
        <v>76363.675936010943</v>
      </c>
      <c r="Y206" s="240">
        <f t="shared" ca="1" si="93"/>
        <v>14155068.830098761</v>
      </c>
      <c r="AF206" s="210">
        <f>ROW()</f>
        <v>206</v>
      </c>
      <c r="AG206" s="217">
        <f t="shared" si="98"/>
        <v>76.583333333332732</v>
      </c>
      <c r="AH206" s="217">
        <f t="shared" ca="1" si="79"/>
        <v>0</v>
      </c>
      <c r="AI206" s="217">
        <f ca="1">IF(AH205&lt;&gt;0,FINANCIAMIENTO!$F$5,0)</f>
        <v>0</v>
      </c>
      <c r="AJ206" s="240" t="b">
        <f t="shared" ca="1" si="76"/>
        <v>0</v>
      </c>
      <c r="AK206" s="240">
        <f t="shared" ca="1" si="80"/>
        <v>0</v>
      </c>
      <c r="AL206" s="240">
        <f t="shared" ca="1" si="81"/>
        <v>76363.675936010943</v>
      </c>
      <c r="AM206" s="240">
        <f t="shared" ca="1" si="82"/>
        <v>76363.675936010943</v>
      </c>
      <c r="AN206" s="240">
        <f t="shared" ca="1" si="83"/>
        <v>13665436.289157009</v>
      </c>
    </row>
    <row r="207" spans="9:40">
      <c r="I207" s="217">
        <f t="shared" si="94"/>
        <v>76.66666666666606</v>
      </c>
      <c r="J207" s="216">
        <f t="shared" ca="1" si="84"/>
        <v>62856.639291942876</v>
      </c>
      <c r="K207" s="216">
        <f t="shared" ca="1" si="85"/>
        <v>11879904.826177178</v>
      </c>
      <c r="M207" s="217">
        <f t="shared" si="95"/>
        <v>76.66666666666606</v>
      </c>
      <c r="N207" s="217">
        <f t="shared" ca="1" si="86"/>
        <v>0</v>
      </c>
      <c r="O207" s="216">
        <f t="shared" ca="1" si="87"/>
        <v>76363.675936010943</v>
      </c>
      <c r="P207" s="216">
        <f t="shared" ca="1" si="88"/>
        <v>14258441.402970139</v>
      </c>
      <c r="R207" s="217">
        <f t="shared" si="96"/>
        <v>76.66666666666606</v>
      </c>
      <c r="S207" s="240">
        <f t="shared" ca="1" si="89"/>
        <v>62856.639291942876</v>
      </c>
      <c r="T207" s="240">
        <f t="shared" ca="1" si="90"/>
        <v>11879904.826177178</v>
      </c>
      <c r="V207" s="217">
        <f t="shared" si="97"/>
        <v>76.66666666666606</v>
      </c>
      <c r="W207" s="217">
        <f t="shared" ca="1" si="91"/>
        <v>0</v>
      </c>
      <c r="X207" s="240">
        <f t="shared" ca="1" si="92"/>
        <v>76363.675936010943</v>
      </c>
      <c r="Y207" s="240">
        <f t="shared" ca="1" si="93"/>
        <v>14231432.506034773</v>
      </c>
      <c r="AF207" s="210">
        <f>ROW()</f>
        <v>207</v>
      </c>
      <c r="AG207" s="217">
        <f t="shared" si="98"/>
        <v>76.66666666666606</v>
      </c>
      <c r="AH207" s="217">
        <f t="shared" ca="1" si="79"/>
        <v>0</v>
      </c>
      <c r="AI207" s="217">
        <f ca="1">IF(AH206&lt;&gt;0,FINANCIAMIENTO!$F$5,0)</f>
        <v>0</v>
      </c>
      <c r="AJ207" s="240" t="b">
        <f t="shared" ca="1" si="76"/>
        <v>0</v>
      </c>
      <c r="AK207" s="240">
        <f t="shared" ca="1" si="80"/>
        <v>0</v>
      </c>
      <c r="AL207" s="240">
        <f t="shared" ca="1" si="81"/>
        <v>76363.675936010943</v>
      </c>
      <c r="AM207" s="240">
        <f t="shared" ca="1" si="82"/>
        <v>76363.675936010943</v>
      </c>
      <c r="AN207" s="240">
        <f t="shared" ca="1" si="83"/>
        <v>13741799.96509302</v>
      </c>
    </row>
    <row r="208" spans="9:40">
      <c r="I208" s="217">
        <f t="shared" si="94"/>
        <v>76.749999999999389</v>
      </c>
      <c r="J208" s="216">
        <f t="shared" ca="1" si="84"/>
        <v>62856.639291942876</v>
      </c>
      <c r="K208" s="216">
        <f t="shared" ca="1" si="85"/>
        <v>11942761.46546912</v>
      </c>
      <c r="M208" s="217">
        <f t="shared" si="95"/>
        <v>76.749999999999389</v>
      </c>
      <c r="N208" s="217">
        <f t="shared" ca="1" si="86"/>
        <v>0</v>
      </c>
      <c r="O208" s="216">
        <f t="shared" ca="1" si="87"/>
        <v>76363.675936010943</v>
      </c>
      <c r="P208" s="216">
        <f t="shared" ca="1" si="88"/>
        <v>14334805.078906151</v>
      </c>
      <c r="R208" s="217">
        <f t="shared" si="96"/>
        <v>76.749999999999389</v>
      </c>
      <c r="S208" s="240">
        <f t="shared" ca="1" si="89"/>
        <v>62856.639291942876</v>
      </c>
      <c r="T208" s="240">
        <f t="shared" ca="1" si="90"/>
        <v>11942761.46546912</v>
      </c>
      <c r="V208" s="217">
        <f t="shared" si="97"/>
        <v>76.749999999999389</v>
      </c>
      <c r="W208" s="217">
        <f t="shared" ca="1" si="91"/>
        <v>0</v>
      </c>
      <c r="X208" s="240">
        <f t="shared" ca="1" si="92"/>
        <v>76363.675936010943</v>
      </c>
      <c r="Y208" s="240">
        <f t="shared" ca="1" si="93"/>
        <v>14307796.181970784</v>
      </c>
      <c r="AF208" s="210">
        <f>ROW()</f>
        <v>208</v>
      </c>
      <c r="AG208" s="217">
        <f t="shared" si="98"/>
        <v>76.749999999999389</v>
      </c>
      <c r="AH208" s="217">
        <f t="shared" ca="1" si="79"/>
        <v>0</v>
      </c>
      <c r="AI208" s="217">
        <f ca="1">IF(AH207&lt;&gt;0,FINANCIAMIENTO!$F$5,0)</f>
        <v>0</v>
      </c>
      <c r="AJ208" s="240" t="b">
        <f t="shared" ref="AJ208:AJ247" ca="1" si="99">AND(
   ROW(AF208)-ROW(AF$7)+1 &gt;= MATCH($AE$7,$AI$7:$AI$187,0),
   ROW(AF208)-ROW(AF$7)+1 &lt;= MATCH($AE$7,$AI$7:$AI$187,0)+54
)</f>
        <v>0</v>
      </c>
      <c r="AK208" s="240">
        <f t="shared" ca="1" si="80"/>
        <v>0</v>
      </c>
      <c r="AL208" s="240">
        <f t="shared" ca="1" si="81"/>
        <v>76363.675936010943</v>
      </c>
      <c r="AM208" s="240">
        <f t="shared" ca="1" si="82"/>
        <v>76363.675936010943</v>
      </c>
      <c r="AN208" s="240">
        <f t="shared" ca="1" si="83"/>
        <v>13818163.641029032</v>
      </c>
    </row>
    <row r="209" spans="9:40">
      <c r="I209" s="217">
        <f t="shared" si="94"/>
        <v>76.833333333332718</v>
      </c>
      <c r="J209" s="216">
        <f t="shared" ca="1" si="84"/>
        <v>62856.639291942876</v>
      </c>
      <c r="K209" s="216">
        <f t="shared" ca="1" si="85"/>
        <v>12005618.104761062</v>
      </c>
      <c r="M209" s="217">
        <f t="shared" si="95"/>
        <v>76.833333333332718</v>
      </c>
      <c r="N209" s="217">
        <f t="shared" ca="1" si="86"/>
        <v>0</v>
      </c>
      <c r="O209" s="216">
        <f t="shared" ca="1" si="87"/>
        <v>76363.675936010943</v>
      </c>
      <c r="P209" s="216">
        <f t="shared" ca="1" si="88"/>
        <v>14411168.754842162</v>
      </c>
      <c r="R209" s="217">
        <f t="shared" si="96"/>
        <v>76.833333333332718</v>
      </c>
      <c r="S209" s="240">
        <f t="shared" ca="1" si="89"/>
        <v>62856.639291942876</v>
      </c>
      <c r="T209" s="240">
        <f t="shared" ca="1" si="90"/>
        <v>12005618.104761062</v>
      </c>
      <c r="V209" s="217">
        <f t="shared" si="97"/>
        <v>76.833333333332718</v>
      </c>
      <c r="W209" s="217">
        <f t="shared" ca="1" si="91"/>
        <v>0</v>
      </c>
      <c r="X209" s="240">
        <f t="shared" ca="1" si="92"/>
        <v>76363.675936010943</v>
      </c>
      <c r="Y209" s="240">
        <f t="shared" ca="1" si="93"/>
        <v>14384159.857906796</v>
      </c>
      <c r="AF209" s="210">
        <f>ROW()</f>
        <v>209</v>
      </c>
      <c r="AG209" s="217">
        <f t="shared" si="98"/>
        <v>76.833333333332718</v>
      </c>
      <c r="AH209" s="217">
        <f t="shared" ca="1" si="79"/>
        <v>0</v>
      </c>
      <c r="AI209" s="217">
        <f ca="1">IF(AH208&lt;&gt;0,FINANCIAMIENTO!$F$5,0)</f>
        <v>0</v>
      </c>
      <c r="AJ209" s="240" t="b">
        <f t="shared" ca="1" si="99"/>
        <v>0</v>
      </c>
      <c r="AK209" s="240">
        <f t="shared" ca="1" si="80"/>
        <v>0</v>
      </c>
      <c r="AL209" s="240">
        <f t="shared" ca="1" si="81"/>
        <v>76363.675936010943</v>
      </c>
      <c r="AM209" s="240">
        <f t="shared" ca="1" si="82"/>
        <v>76363.675936010943</v>
      </c>
      <c r="AN209" s="240">
        <f t="shared" ca="1" si="83"/>
        <v>13894527.316965044</v>
      </c>
    </row>
    <row r="210" spans="9:40">
      <c r="I210" s="217">
        <f t="shared" si="94"/>
        <v>76.916666666666046</v>
      </c>
      <c r="J210" s="216">
        <f t="shared" ca="1" si="84"/>
        <v>62856.639291942876</v>
      </c>
      <c r="K210" s="216">
        <f t="shared" ca="1" si="85"/>
        <v>12068474.744053004</v>
      </c>
      <c r="M210" s="217">
        <f t="shared" si="95"/>
        <v>76.916666666666046</v>
      </c>
      <c r="N210" s="217">
        <f t="shared" ca="1" si="86"/>
        <v>0</v>
      </c>
      <c r="O210" s="216">
        <f t="shared" ca="1" si="87"/>
        <v>76363.675936010943</v>
      </c>
      <c r="P210" s="216">
        <f t="shared" ca="1" si="88"/>
        <v>14487532.430778174</v>
      </c>
      <c r="R210" s="217">
        <f t="shared" si="96"/>
        <v>76.916666666666046</v>
      </c>
      <c r="S210" s="240">
        <f t="shared" ca="1" si="89"/>
        <v>62856.639291942876</v>
      </c>
      <c r="T210" s="240">
        <f t="shared" ca="1" si="90"/>
        <v>12068474.744053004</v>
      </c>
      <c r="V210" s="217">
        <f t="shared" si="97"/>
        <v>76.916666666666046</v>
      </c>
      <c r="W210" s="217">
        <f t="shared" ca="1" si="91"/>
        <v>0</v>
      </c>
      <c r="X210" s="240">
        <f t="shared" ca="1" si="92"/>
        <v>76363.675936010943</v>
      </c>
      <c r="Y210" s="240">
        <f t="shared" ca="1" si="93"/>
        <v>14460523.533842808</v>
      </c>
      <c r="AF210" s="210">
        <f>ROW()</f>
        <v>210</v>
      </c>
      <c r="AG210" s="217">
        <f t="shared" si="98"/>
        <v>76.916666666666046</v>
      </c>
      <c r="AH210" s="217">
        <f t="shared" ca="1" si="79"/>
        <v>0</v>
      </c>
      <c r="AI210" s="217">
        <f ca="1">IF(AH209&lt;&gt;0,FINANCIAMIENTO!$F$5,0)</f>
        <v>0</v>
      </c>
      <c r="AJ210" s="240" t="b">
        <f t="shared" ca="1" si="99"/>
        <v>0</v>
      </c>
      <c r="AK210" s="240">
        <f t="shared" ca="1" si="80"/>
        <v>0</v>
      </c>
      <c r="AL210" s="240">
        <f t="shared" ca="1" si="81"/>
        <v>76363.675936010943</v>
      </c>
      <c r="AM210" s="240">
        <f t="shared" ca="1" si="82"/>
        <v>76363.675936010943</v>
      </c>
      <c r="AN210" s="240">
        <f t="shared" ca="1" si="83"/>
        <v>13970890.992901055</v>
      </c>
    </row>
    <row r="211" spans="9:40">
      <c r="I211" s="217">
        <f t="shared" si="94"/>
        <v>76.999999999999375</v>
      </c>
      <c r="J211" s="216">
        <f t="shared" ca="1" si="84"/>
        <v>62856.639291942876</v>
      </c>
      <c r="K211" s="216">
        <f t="shared" ca="1" si="85"/>
        <v>12131331.383344946</v>
      </c>
      <c r="M211" s="217">
        <f t="shared" si="95"/>
        <v>76.999999999999375</v>
      </c>
      <c r="N211" s="217">
        <f t="shared" ca="1" si="86"/>
        <v>0</v>
      </c>
      <c r="O211" s="216">
        <f t="shared" ca="1" si="87"/>
        <v>76363.675936010943</v>
      </c>
      <c r="P211" s="216">
        <f t="shared" ca="1" si="88"/>
        <v>14563896.106714185</v>
      </c>
      <c r="R211" s="217">
        <f t="shared" si="96"/>
        <v>76.999999999999375</v>
      </c>
      <c r="S211" s="240">
        <f t="shared" ca="1" si="89"/>
        <v>62856.639291942876</v>
      </c>
      <c r="T211" s="240">
        <f t="shared" ca="1" si="90"/>
        <v>12131331.383344946</v>
      </c>
      <c r="V211" s="217">
        <f t="shared" si="97"/>
        <v>76.999999999999375</v>
      </c>
      <c r="W211" s="217">
        <f t="shared" ca="1" si="91"/>
        <v>0</v>
      </c>
      <c r="X211" s="240">
        <f t="shared" ca="1" si="92"/>
        <v>76363.675936010943</v>
      </c>
      <c r="Y211" s="240">
        <f t="shared" ca="1" si="93"/>
        <v>14536887.209778819</v>
      </c>
      <c r="AF211" s="210">
        <f>ROW()</f>
        <v>211</v>
      </c>
      <c r="AG211" s="217">
        <f t="shared" si="98"/>
        <v>76.999999999999375</v>
      </c>
      <c r="AH211" s="217">
        <f t="shared" ca="1" si="79"/>
        <v>0</v>
      </c>
      <c r="AI211" s="217">
        <f ca="1">IF(AH210&lt;&gt;0,FINANCIAMIENTO!$F$5,0)</f>
        <v>0</v>
      </c>
      <c r="AJ211" s="240" t="b">
        <f t="shared" ca="1" si="99"/>
        <v>0</v>
      </c>
      <c r="AK211" s="240">
        <f t="shared" ca="1" si="80"/>
        <v>0</v>
      </c>
      <c r="AL211" s="240">
        <f t="shared" ca="1" si="81"/>
        <v>76363.675936010943</v>
      </c>
      <c r="AM211" s="240">
        <f t="shared" ca="1" si="82"/>
        <v>76363.675936010943</v>
      </c>
      <c r="AN211" s="240">
        <f t="shared" ca="1" si="83"/>
        <v>14047254.668837067</v>
      </c>
    </row>
    <row r="212" spans="9:40">
      <c r="I212" s="217">
        <f t="shared" si="94"/>
        <v>77.083333333332703</v>
      </c>
      <c r="J212" s="216">
        <f t="shared" ca="1" si="84"/>
        <v>62856.639291942876</v>
      </c>
      <c r="K212" s="216">
        <f t="shared" ca="1" si="85"/>
        <v>12194188.022636889</v>
      </c>
      <c r="M212" s="217">
        <f t="shared" si="95"/>
        <v>77.083333333332703</v>
      </c>
      <c r="N212" s="217">
        <f t="shared" ca="1" si="86"/>
        <v>0</v>
      </c>
      <c r="O212" s="216">
        <f t="shared" ca="1" si="87"/>
        <v>76363.675936010943</v>
      </c>
      <c r="P212" s="216">
        <f t="shared" ca="1" si="88"/>
        <v>14640259.782650197</v>
      </c>
      <c r="R212" s="217">
        <f t="shared" si="96"/>
        <v>77.083333333332703</v>
      </c>
      <c r="S212" s="240">
        <f t="shared" ca="1" si="89"/>
        <v>62856.639291942876</v>
      </c>
      <c r="T212" s="240">
        <f t="shared" ca="1" si="90"/>
        <v>12194188.022636889</v>
      </c>
      <c r="V212" s="217">
        <f t="shared" si="97"/>
        <v>77.083333333332703</v>
      </c>
      <c r="W212" s="217">
        <f t="shared" ca="1" si="91"/>
        <v>0</v>
      </c>
      <c r="X212" s="240">
        <f t="shared" ca="1" si="92"/>
        <v>76363.675936010943</v>
      </c>
      <c r="Y212" s="240">
        <f t="shared" ca="1" si="93"/>
        <v>14613250.885714831</v>
      </c>
      <c r="AF212" s="210">
        <f>ROW()</f>
        <v>212</v>
      </c>
      <c r="AG212" s="217">
        <f t="shared" si="98"/>
        <v>77.083333333332703</v>
      </c>
      <c r="AH212" s="217">
        <f t="shared" ca="1" si="79"/>
        <v>0</v>
      </c>
      <c r="AI212" s="217">
        <f ca="1">IF(AH211&lt;&gt;0,FINANCIAMIENTO!$F$5,0)</f>
        <v>0</v>
      </c>
      <c r="AJ212" s="240" t="b">
        <f t="shared" ca="1" si="99"/>
        <v>0</v>
      </c>
      <c r="AK212" s="240">
        <f t="shared" ca="1" si="80"/>
        <v>0</v>
      </c>
      <c r="AL212" s="240">
        <f t="shared" ca="1" si="81"/>
        <v>76363.675936010943</v>
      </c>
      <c r="AM212" s="240">
        <f t="shared" ca="1" si="82"/>
        <v>76363.675936010943</v>
      </c>
      <c r="AN212" s="240">
        <f t="shared" ca="1" si="83"/>
        <v>14123618.344773078</v>
      </c>
    </row>
    <row r="213" spans="9:40">
      <c r="I213" s="217">
        <f t="shared" si="94"/>
        <v>77.166666666666032</v>
      </c>
      <c r="J213" s="216">
        <f t="shared" ca="1" si="84"/>
        <v>62856.639291942876</v>
      </c>
      <c r="K213" s="216">
        <f t="shared" ca="1" si="85"/>
        <v>12257044.661928831</v>
      </c>
      <c r="M213" s="217">
        <f t="shared" si="95"/>
        <v>77.166666666666032</v>
      </c>
      <c r="N213" s="217">
        <f t="shared" ca="1" si="86"/>
        <v>0</v>
      </c>
      <c r="O213" s="216">
        <f t="shared" ca="1" si="87"/>
        <v>76363.675936010943</v>
      </c>
      <c r="P213" s="216">
        <f t="shared" ca="1" si="88"/>
        <v>14716623.458586209</v>
      </c>
      <c r="R213" s="217">
        <f t="shared" si="96"/>
        <v>77.166666666666032</v>
      </c>
      <c r="S213" s="240">
        <f t="shared" ca="1" si="89"/>
        <v>62856.639291942876</v>
      </c>
      <c r="T213" s="240">
        <f t="shared" ca="1" si="90"/>
        <v>12257044.661928831</v>
      </c>
      <c r="V213" s="217">
        <f t="shared" si="97"/>
        <v>77.166666666666032</v>
      </c>
      <c r="W213" s="217">
        <f t="shared" ca="1" si="91"/>
        <v>0</v>
      </c>
      <c r="X213" s="240">
        <f t="shared" ca="1" si="92"/>
        <v>76363.675936010943</v>
      </c>
      <c r="Y213" s="240">
        <f t="shared" ca="1" si="93"/>
        <v>14689614.561650842</v>
      </c>
      <c r="AF213" s="210">
        <f>ROW()</f>
        <v>213</v>
      </c>
      <c r="AG213" s="217">
        <f t="shared" si="98"/>
        <v>77.166666666666032</v>
      </c>
      <c r="AH213" s="217">
        <f t="shared" ca="1" si="79"/>
        <v>0</v>
      </c>
      <c r="AI213" s="217">
        <f ca="1">IF(AH212&lt;&gt;0,FINANCIAMIENTO!$F$5,0)</f>
        <v>0</v>
      </c>
      <c r="AJ213" s="240" t="b">
        <f t="shared" ca="1" si="99"/>
        <v>0</v>
      </c>
      <c r="AK213" s="240">
        <f t="shared" ca="1" si="80"/>
        <v>0</v>
      </c>
      <c r="AL213" s="240">
        <f t="shared" ca="1" si="81"/>
        <v>76363.675936010943</v>
      </c>
      <c r="AM213" s="240">
        <f t="shared" ca="1" si="82"/>
        <v>76363.675936010943</v>
      </c>
      <c r="AN213" s="240">
        <f t="shared" ca="1" si="83"/>
        <v>14199982.02070909</v>
      </c>
    </row>
    <row r="214" spans="9:40">
      <c r="I214" s="217">
        <f t="shared" si="94"/>
        <v>77.249999999999361</v>
      </c>
      <c r="J214" s="216">
        <f t="shared" ca="1" si="84"/>
        <v>62856.639291942876</v>
      </c>
      <c r="K214" s="216">
        <f t="shared" ca="1" si="85"/>
        <v>12319901.301220773</v>
      </c>
      <c r="M214" s="217">
        <f t="shared" si="95"/>
        <v>77.249999999999361</v>
      </c>
      <c r="N214" s="217">
        <f t="shared" ca="1" si="86"/>
        <v>0</v>
      </c>
      <c r="O214" s="216">
        <f t="shared" ca="1" si="87"/>
        <v>76363.675936010943</v>
      </c>
      <c r="P214" s="216">
        <f t="shared" ca="1" si="88"/>
        <v>14792987.13452222</v>
      </c>
      <c r="R214" s="217">
        <f t="shared" si="96"/>
        <v>77.249999999999361</v>
      </c>
      <c r="S214" s="240">
        <f t="shared" ca="1" si="89"/>
        <v>62856.639291942876</v>
      </c>
      <c r="T214" s="240">
        <f t="shared" ca="1" si="90"/>
        <v>12319901.301220773</v>
      </c>
      <c r="V214" s="217">
        <f t="shared" si="97"/>
        <v>77.249999999999361</v>
      </c>
      <c r="W214" s="217">
        <f t="shared" ca="1" si="91"/>
        <v>0</v>
      </c>
      <c r="X214" s="240">
        <f t="shared" ca="1" si="92"/>
        <v>76363.675936010943</v>
      </c>
      <c r="Y214" s="240">
        <f t="shared" ca="1" si="93"/>
        <v>14765978.237586854</v>
      </c>
      <c r="AF214" s="210">
        <f>ROW()</f>
        <v>214</v>
      </c>
      <c r="AG214" s="217">
        <f t="shared" si="98"/>
        <v>77.249999999999361</v>
      </c>
      <c r="AH214" s="217">
        <f t="shared" ca="1" si="79"/>
        <v>0</v>
      </c>
      <c r="AI214" s="217">
        <f ca="1">IF(AH213&lt;&gt;0,FINANCIAMIENTO!$F$5,0)</f>
        <v>0</v>
      </c>
      <c r="AJ214" s="240" t="b">
        <f t="shared" ca="1" si="99"/>
        <v>0</v>
      </c>
      <c r="AK214" s="240">
        <f t="shared" ca="1" si="80"/>
        <v>0</v>
      </c>
      <c r="AL214" s="240">
        <f t="shared" ca="1" si="81"/>
        <v>76363.675936010943</v>
      </c>
      <c r="AM214" s="240">
        <f t="shared" ca="1" si="82"/>
        <v>76363.675936010943</v>
      </c>
      <c r="AN214" s="240">
        <f t="shared" ca="1" si="83"/>
        <v>14276345.696645102</v>
      </c>
    </row>
    <row r="215" spans="9:40">
      <c r="I215" s="217">
        <f t="shared" si="94"/>
        <v>77.333333333332689</v>
      </c>
      <c r="J215" s="216">
        <f t="shared" ca="1" si="84"/>
        <v>62856.639291942876</v>
      </c>
      <c r="K215" s="216">
        <f t="shared" ca="1" si="85"/>
        <v>12382757.940512715</v>
      </c>
      <c r="M215" s="217">
        <f t="shared" si="95"/>
        <v>77.333333333332689</v>
      </c>
      <c r="N215" s="217">
        <f t="shared" ca="1" si="86"/>
        <v>0</v>
      </c>
      <c r="O215" s="216">
        <f t="shared" ca="1" si="87"/>
        <v>76363.675936010943</v>
      </c>
      <c r="P215" s="216">
        <f t="shared" ca="1" si="88"/>
        <v>14869350.810458232</v>
      </c>
      <c r="R215" s="217">
        <f t="shared" si="96"/>
        <v>77.333333333332689</v>
      </c>
      <c r="S215" s="240">
        <f t="shared" ca="1" si="89"/>
        <v>62856.639291942876</v>
      </c>
      <c r="T215" s="240">
        <f t="shared" ca="1" si="90"/>
        <v>12382757.940512715</v>
      </c>
      <c r="V215" s="217">
        <f t="shared" si="97"/>
        <v>77.333333333332689</v>
      </c>
      <c r="W215" s="217">
        <f t="shared" ca="1" si="91"/>
        <v>0</v>
      </c>
      <c r="X215" s="240">
        <f t="shared" ca="1" si="92"/>
        <v>76363.675936010943</v>
      </c>
      <c r="Y215" s="240">
        <f t="shared" ca="1" si="93"/>
        <v>14842341.913522866</v>
      </c>
      <c r="AF215" s="210">
        <f>ROW()</f>
        <v>215</v>
      </c>
      <c r="AG215" s="217">
        <f t="shared" si="98"/>
        <v>77.333333333332689</v>
      </c>
      <c r="AH215" s="217">
        <f t="shared" ca="1" si="79"/>
        <v>0</v>
      </c>
      <c r="AI215" s="217">
        <f ca="1">IF(AH214&lt;&gt;0,FINANCIAMIENTO!$F$5,0)</f>
        <v>0</v>
      </c>
      <c r="AJ215" s="240" t="b">
        <f t="shared" ca="1" si="99"/>
        <v>0</v>
      </c>
      <c r="AK215" s="240">
        <f t="shared" ca="1" si="80"/>
        <v>0</v>
      </c>
      <c r="AL215" s="240">
        <f t="shared" ca="1" si="81"/>
        <v>76363.675936010943</v>
      </c>
      <c r="AM215" s="240">
        <f t="shared" ca="1" si="82"/>
        <v>76363.675936010943</v>
      </c>
      <c r="AN215" s="240">
        <f t="shared" ca="1" si="83"/>
        <v>14352709.372581113</v>
      </c>
    </row>
    <row r="216" spans="9:40">
      <c r="I216" s="217">
        <f t="shared" si="94"/>
        <v>77.416666666666018</v>
      </c>
      <c r="J216" s="216">
        <f t="shared" ca="1" si="84"/>
        <v>62856.639291942876</v>
      </c>
      <c r="K216" s="216">
        <f t="shared" ca="1" si="85"/>
        <v>12445614.579804657</v>
      </c>
      <c r="M216" s="217">
        <f t="shared" si="95"/>
        <v>77.416666666666018</v>
      </c>
      <c r="N216" s="217">
        <f t="shared" ca="1" si="86"/>
        <v>0</v>
      </c>
      <c r="O216" s="216">
        <f t="shared" ca="1" si="87"/>
        <v>76363.675936010943</v>
      </c>
      <c r="P216" s="216">
        <f t="shared" ca="1" si="88"/>
        <v>14945714.486394243</v>
      </c>
      <c r="R216" s="217">
        <f t="shared" si="96"/>
        <v>77.416666666666018</v>
      </c>
      <c r="S216" s="240">
        <f t="shared" ca="1" si="89"/>
        <v>62856.639291942876</v>
      </c>
      <c r="T216" s="240">
        <f t="shared" ca="1" si="90"/>
        <v>12445614.579804657</v>
      </c>
      <c r="V216" s="217">
        <f t="shared" si="97"/>
        <v>77.416666666666018</v>
      </c>
      <c r="W216" s="217">
        <f t="shared" ca="1" si="91"/>
        <v>0</v>
      </c>
      <c r="X216" s="240">
        <f t="shared" ca="1" si="92"/>
        <v>76363.675936010943</v>
      </c>
      <c r="Y216" s="240">
        <f t="shared" ca="1" si="93"/>
        <v>14918705.589458877</v>
      </c>
      <c r="AF216" s="210">
        <f>ROW()</f>
        <v>216</v>
      </c>
      <c r="AG216" s="217">
        <f t="shared" si="98"/>
        <v>77.416666666666018</v>
      </c>
      <c r="AH216" s="217">
        <f t="shared" ca="1" si="79"/>
        <v>0</v>
      </c>
      <c r="AI216" s="217">
        <f ca="1">IF(AH215&lt;&gt;0,FINANCIAMIENTO!$F$5,0)</f>
        <v>0</v>
      </c>
      <c r="AJ216" s="240" t="b">
        <f t="shared" ca="1" si="99"/>
        <v>0</v>
      </c>
      <c r="AK216" s="240">
        <f t="shared" ca="1" si="80"/>
        <v>0</v>
      </c>
      <c r="AL216" s="240">
        <f t="shared" ca="1" si="81"/>
        <v>76363.675936010943</v>
      </c>
      <c r="AM216" s="240">
        <f t="shared" ca="1" si="82"/>
        <v>76363.675936010943</v>
      </c>
      <c r="AN216" s="240">
        <f t="shared" ca="1" si="83"/>
        <v>14429073.048517125</v>
      </c>
    </row>
    <row r="217" spans="9:40">
      <c r="I217" s="217">
        <f t="shared" si="94"/>
        <v>77.499999999999346</v>
      </c>
      <c r="J217" s="216">
        <f t="shared" ca="1" si="84"/>
        <v>62856.639291942876</v>
      </c>
      <c r="K217" s="216">
        <f t="shared" ca="1" si="85"/>
        <v>12508471.219096599</v>
      </c>
      <c r="M217" s="217">
        <f t="shared" si="95"/>
        <v>77.499999999999346</v>
      </c>
      <c r="N217" s="217">
        <f t="shared" ca="1" si="86"/>
        <v>0</v>
      </c>
      <c r="O217" s="216">
        <f t="shared" ca="1" si="87"/>
        <v>76363.675936010943</v>
      </c>
      <c r="P217" s="216">
        <f t="shared" ca="1" si="88"/>
        <v>15022078.162330255</v>
      </c>
      <c r="R217" s="217">
        <f t="shared" si="96"/>
        <v>77.499999999999346</v>
      </c>
      <c r="S217" s="240">
        <f t="shared" ca="1" si="89"/>
        <v>62856.639291942876</v>
      </c>
      <c r="T217" s="240">
        <f t="shared" ca="1" si="90"/>
        <v>12508471.219096599</v>
      </c>
      <c r="V217" s="217">
        <f t="shared" si="97"/>
        <v>77.499999999999346</v>
      </c>
      <c r="W217" s="217">
        <f t="shared" ca="1" si="91"/>
        <v>0</v>
      </c>
      <c r="X217" s="240">
        <f t="shared" ca="1" si="92"/>
        <v>76363.675936010943</v>
      </c>
      <c r="Y217" s="240">
        <f t="shared" ca="1" si="93"/>
        <v>14995069.265394889</v>
      </c>
      <c r="AF217" s="210">
        <f>ROW()</f>
        <v>217</v>
      </c>
      <c r="AG217" s="217">
        <f t="shared" si="98"/>
        <v>77.499999999999346</v>
      </c>
      <c r="AH217" s="217">
        <f t="shared" ca="1" si="79"/>
        <v>0</v>
      </c>
      <c r="AI217" s="217">
        <f ca="1">IF(AH216&lt;&gt;0,FINANCIAMIENTO!$F$5,0)</f>
        <v>0</v>
      </c>
      <c r="AJ217" s="240" t="b">
        <f t="shared" ca="1" si="99"/>
        <v>0</v>
      </c>
      <c r="AK217" s="240">
        <f t="shared" ca="1" si="80"/>
        <v>0</v>
      </c>
      <c r="AL217" s="240">
        <f t="shared" ca="1" si="81"/>
        <v>76363.675936010943</v>
      </c>
      <c r="AM217" s="240">
        <f t="shared" ca="1" si="82"/>
        <v>76363.675936010943</v>
      </c>
      <c r="AN217" s="240">
        <f t="shared" ca="1" si="83"/>
        <v>14505436.724453136</v>
      </c>
    </row>
    <row r="218" spans="9:40">
      <c r="I218" s="217">
        <f t="shared" si="94"/>
        <v>77.583333333332675</v>
      </c>
      <c r="J218" s="216">
        <f t="shared" ca="1" si="84"/>
        <v>62856.639291942876</v>
      </c>
      <c r="K218" s="216">
        <f t="shared" ca="1" si="85"/>
        <v>12571327.858388541</v>
      </c>
      <c r="M218" s="217">
        <f t="shared" si="95"/>
        <v>77.583333333332675</v>
      </c>
      <c r="N218" s="217">
        <f t="shared" ca="1" si="86"/>
        <v>0</v>
      </c>
      <c r="O218" s="216">
        <f t="shared" ca="1" si="87"/>
        <v>76363.675936010943</v>
      </c>
      <c r="P218" s="216">
        <f t="shared" ca="1" si="88"/>
        <v>15098441.838266267</v>
      </c>
      <c r="R218" s="217">
        <f t="shared" si="96"/>
        <v>77.583333333332675</v>
      </c>
      <c r="S218" s="240">
        <f t="shared" ca="1" si="89"/>
        <v>62856.639291942876</v>
      </c>
      <c r="T218" s="240">
        <f t="shared" ca="1" si="90"/>
        <v>12571327.858388541</v>
      </c>
      <c r="V218" s="217">
        <f t="shared" si="97"/>
        <v>77.583333333332675</v>
      </c>
      <c r="W218" s="217">
        <f t="shared" ca="1" si="91"/>
        <v>0</v>
      </c>
      <c r="X218" s="240">
        <f t="shared" ca="1" si="92"/>
        <v>76363.675936010943</v>
      </c>
      <c r="Y218" s="240">
        <f t="shared" ca="1" si="93"/>
        <v>15071432.9413309</v>
      </c>
      <c r="AF218" s="210">
        <f>ROW()</f>
        <v>218</v>
      </c>
      <c r="AG218" s="217">
        <f t="shared" si="98"/>
        <v>77.583333333332675</v>
      </c>
      <c r="AH218" s="217">
        <f t="shared" ca="1" si="79"/>
        <v>0</v>
      </c>
      <c r="AI218" s="217">
        <f ca="1">IF(AH217&lt;&gt;0,FINANCIAMIENTO!$F$5,0)</f>
        <v>0</v>
      </c>
      <c r="AJ218" s="240" t="b">
        <f t="shared" ca="1" si="99"/>
        <v>0</v>
      </c>
      <c r="AK218" s="240">
        <f t="shared" ca="1" si="80"/>
        <v>0</v>
      </c>
      <c r="AL218" s="240">
        <f t="shared" ca="1" si="81"/>
        <v>76363.675936010943</v>
      </c>
      <c r="AM218" s="240">
        <f t="shared" ca="1" si="82"/>
        <v>76363.675936010943</v>
      </c>
      <c r="AN218" s="240">
        <f t="shared" ca="1" si="83"/>
        <v>14581800.400389148</v>
      </c>
    </row>
    <row r="219" spans="9:40">
      <c r="I219" s="217">
        <f t="shared" si="94"/>
        <v>77.666666666666003</v>
      </c>
      <c r="J219" s="216">
        <f t="shared" ca="1" si="84"/>
        <v>62856.639291942876</v>
      </c>
      <c r="K219" s="216">
        <f t="shared" ca="1" si="85"/>
        <v>12634184.497680483</v>
      </c>
      <c r="M219" s="217">
        <f t="shared" si="95"/>
        <v>77.666666666666003</v>
      </c>
      <c r="N219" s="217">
        <f t="shared" ca="1" si="86"/>
        <v>0</v>
      </c>
      <c r="O219" s="216">
        <f t="shared" ca="1" si="87"/>
        <v>76363.675936010943</v>
      </c>
      <c r="P219" s="216">
        <f t="shared" ca="1" si="88"/>
        <v>15174805.514202278</v>
      </c>
      <c r="R219" s="217">
        <f t="shared" si="96"/>
        <v>77.666666666666003</v>
      </c>
      <c r="S219" s="240">
        <f t="shared" ca="1" si="89"/>
        <v>62856.639291942876</v>
      </c>
      <c r="T219" s="240">
        <f t="shared" ca="1" si="90"/>
        <v>12634184.497680483</v>
      </c>
      <c r="V219" s="217">
        <f t="shared" si="97"/>
        <v>77.666666666666003</v>
      </c>
      <c r="W219" s="217">
        <f t="shared" ca="1" si="91"/>
        <v>0</v>
      </c>
      <c r="X219" s="240">
        <f t="shared" ca="1" si="92"/>
        <v>76363.675936010943</v>
      </c>
      <c r="Y219" s="240">
        <f t="shared" ca="1" si="93"/>
        <v>15147796.617266912</v>
      </c>
      <c r="AF219" s="210">
        <f>ROW()</f>
        <v>219</v>
      </c>
      <c r="AG219" s="217">
        <f t="shared" si="98"/>
        <v>77.666666666666003</v>
      </c>
      <c r="AH219" s="217">
        <f t="shared" ca="1" si="79"/>
        <v>0</v>
      </c>
      <c r="AI219" s="217">
        <f ca="1">IF(AH218&lt;&gt;0,FINANCIAMIENTO!$F$5,0)</f>
        <v>0</v>
      </c>
      <c r="AJ219" s="240" t="b">
        <f t="shared" ca="1" si="99"/>
        <v>0</v>
      </c>
      <c r="AK219" s="240">
        <f t="shared" ca="1" si="80"/>
        <v>0</v>
      </c>
      <c r="AL219" s="240">
        <f t="shared" ca="1" si="81"/>
        <v>76363.675936010943</v>
      </c>
      <c r="AM219" s="240">
        <f t="shared" ca="1" si="82"/>
        <v>76363.675936010943</v>
      </c>
      <c r="AN219" s="240">
        <f t="shared" ca="1" si="83"/>
        <v>14658164.07632516</v>
      </c>
    </row>
    <row r="220" spans="9:40">
      <c r="I220" s="217">
        <f t="shared" si="94"/>
        <v>77.749999999999332</v>
      </c>
      <c r="J220" s="216">
        <f t="shared" ca="1" si="84"/>
        <v>62856.639291942876</v>
      </c>
      <c r="K220" s="216">
        <f t="shared" ca="1" si="85"/>
        <v>12697041.136972426</v>
      </c>
      <c r="M220" s="217">
        <f t="shared" si="95"/>
        <v>77.749999999999332</v>
      </c>
      <c r="N220" s="217">
        <f t="shared" ca="1" si="86"/>
        <v>0</v>
      </c>
      <c r="O220" s="216">
        <f t="shared" ca="1" si="87"/>
        <v>76363.675936010943</v>
      </c>
      <c r="P220" s="216">
        <f t="shared" ca="1" si="88"/>
        <v>15251169.19013829</v>
      </c>
      <c r="R220" s="217">
        <f t="shared" si="96"/>
        <v>77.749999999999332</v>
      </c>
      <c r="S220" s="240">
        <f t="shared" ca="1" si="89"/>
        <v>62856.639291942876</v>
      </c>
      <c r="T220" s="240">
        <f t="shared" ca="1" si="90"/>
        <v>12697041.136972426</v>
      </c>
      <c r="V220" s="217">
        <f t="shared" si="97"/>
        <v>77.749999999999332</v>
      </c>
      <c r="W220" s="217">
        <f t="shared" ca="1" si="91"/>
        <v>0</v>
      </c>
      <c r="X220" s="240">
        <f t="shared" ca="1" si="92"/>
        <v>76363.675936010943</v>
      </c>
      <c r="Y220" s="240">
        <f t="shared" ca="1" si="93"/>
        <v>15224160.293202924</v>
      </c>
      <c r="AF220" s="210">
        <f>ROW()</f>
        <v>220</v>
      </c>
      <c r="AG220" s="217">
        <f t="shared" si="98"/>
        <v>77.749999999999332</v>
      </c>
      <c r="AH220" s="217">
        <f t="shared" ca="1" si="79"/>
        <v>0</v>
      </c>
      <c r="AI220" s="217">
        <f ca="1">IF(AH219&lt;&gt;0,FINANCIAMIENTO!$F$5,0)</f>
        <v>0</v>
      </c>
      <c r="AJ220" s="240" t="b">
        <f t="shared" ca="1" si="99"/>
        <v>0</v>
      </c>
      <c r="AK220" s="240">
        <f t="shared" ca="1" si="80"/>
        <v>0</v>
      </c>
      <c r="AL220" s="240">
        <f t="shared" ca="1" si="81"/>
        <v>76363.675936010943</v>
      </c>
      <c r="AM220" s="240">
        <f t="shared" ca="1" si="82"/>
        <v>76363.675936010943</v>
      </c>
      <c r="AN220" s="240">
        <f t="shared" ca="1" si="83"/>
        <v>14734527.752261171</v>
      </c>
    </row>
    <row r="221" spans="9:40">
      <c r="I221" s="217">
        <f t="shared" si="94"/>
        <v>77.833333333332661</v>
      </c>
      <c r="J221" s="216">
        <f t="shared" ca="1" si="84"/>
        <v>62856.639291942876</v>
      </c>
      <c r="K221" s="216">
        <f t="shared" ca="1" si="85"/>
        <v>12759897.776264368</v>
      </c>
      <c r="M221" s="217">
        <f t="shared" si="95"/>
        <v>77.833333333332661</v>
      </c>
      <c r="N221" s="217">
        <f t="shared" ca="1" si="86"/>
        <v>0</v>
      </c>
      <c r="O221" s="216">
        <f t="shared" ca="1" si="87"/>
        <v>76363.675936010943</v>
      </c>
      <c r="P221" s="216">
        <f t="shared" ca="1" si="88"/>
        <v>15327532.866074301</v>
      </c>
      <c r="R221" s="217">
        <f t="shared" si="96"/>
        <v>77.833333333332661</v>
      </c>
      <c r="S221" s="240">
        <f t="shared" ca="1" si="89"/>
        <v>62856.639291942876</v>
      </c>
      <c r="T221" s="240">
        <f t="shared" ca="1" si="90"/>
        <v>12759897.776264368</v>
      </c>
      <c r="V221" s="217">
        <f t="shared" si="97"/>
        <v>77.833333333332661</v>
      </c>
      <c r="W221" s="217">
        <f t="shared" ca="1" si="91"/>
        <v>0</v>
      </c>
      <c r="X221" s="240">
        <f t="shared" ca="1" si="92"/>
        <v>76363.675936010943</v>
      </c>
      <c r="Y221" s="240">
        <f t="shared" ca="1" si="93"/>
        <v>15300523.969138935</v>
      </c>
      <c r="AF221" s="210">
        <f>ROW()</f>
        <v>221</v>
      </c>
      <c r="AG221" s="217">
        <f t="shared" si="98"/>
        <v>77.833333333332661</v>
      </c>
      <c r="AH221" s="217">
        <f t="shared" ca="1" si="79"/>
        <v>0</v>
      </c>
      <c r="AI221" s="217">
        <f ca="1">IF(AH220&lt;&gt;0,FINANCIAMIENTO!$F$5,0)</f>
        <v>0</v>
      </c>
      <c r="AJ221" s="240" t="b">
        <f t="shared" ca="1" si="99"/>
        <v>0</v>
      </c>
      <c r="AK221" s="240">
        <f t="shared" ca="1" si="80"/>
        <v>0</v>
      </c>
      <c r="AL221" s="240">
        <f t="shared" ca="1" si="81"/>
        <v>76363.675936010943</v>
      </c>
      <c r="AM221" s="240">
        <f t="shared" ca="1" si="82"/>
        <v>76363.675936010943</v>
      </c>
      <c r="AN221" s="240">
        <f t="shared" ca="1" si="83"/>
        <v>14810891.428197183</v>
      </c>
    </row>
    <row r="222" spans="9:40">
      <c r="I222" s="217">
        <f t="shared" si="94"/>
        <v>77.916666666665989</v>
      </c>
      <c r="J222" s="216">
        <f t="shared" ca="1" si="84"/>
        <v>62856.639291942876</v>
      </c>
      <c r="K222" s="216">
        <f t="shared" ca="1" si="85"/>
        <v>12822754.41555631</v>
      </c>
      <c r="M222" s="217">
        <f t="shared" si="95"/>
        <v>77.916666666665989</v>
      </c>
      <c r="N222" s="217">
        <f t="shared" ca="1" si="86"/>
        <v>0</v>
      </c>
      <c r="O222" s="216">
        <f t="shared" ca="1" si="87"/>
        <v>76363.675936010943</v>
      </c>
      <c r="P222" s="216">
        <f t="shared" ca="1" si="88"/>
        <v>15403896.542010313</v>
      </c>
      <c r="R222" s="217">
        <f t="shared" si="96"/>
        <v>77.916666666665989</v>
      </c>
      <c r="S222" s="240">
        <f t="shared" ca="1" si="89"/>
        <v>62856.639291942876</v>
      </c>
      <c r="T222" s="240">
        <f t="shared" ca="1" si="90"/>
        <v>12822754.41555631</v>
      </c>
      <c r="V222" s="217">
        <f t="shared" si="97"/>
        <v>77.916666666665989</v>
      </c>
      <c r="W222" s="217">
        <f t="shared" ca="1" si="91"/>
        <v>0</v>
      </c>
      <c r="X222" s="240">
        <f t="shared" ca="1" si="92"/>
        <v>76363.675936010943</v>
      </c>
      <c r="Y222" s="240">
        <f t="shared" ca="1" si="93"/>
        <v>15376887.645074947</v>
      </c>
      <c r="AF222" s="210">
        <f>ROW()</f>
        <v>222</v>
      </c>
      <c r="AG222" s="217">
        <f t="shared" si="98"/>
        <v>77.916666666665989</v>
      </c>
      <c r="AH222" s="217">
        <f t="shared" ca="1" si="79"/>
        <v>0</v>
      </c>
      <c r="AI222" s="217">
        <f ca="1">IF(AH221&lt;&gt;0,FINANCIAMIENTO!$F$5,0)</f>
        <v>0</v>
      </c>
      <c r="AJ222" s="240" t="b">
        <f t="shared" ca="1" si="99"/>
        <v>0</v>
      </c>
      <c r="AK222" s="240">
        <f t="shared" ca="1" si="80"/>
        <v>0</v>
      </c>
      <c r="AL222" s="240">
        <f t="shared" ca="1" si="81"/>
        <v>76363.675936010943</v>
      </c>
      <c r="AM222" s="240">
        <f t="shared" ca="1" si="82"/>
        <v>76363.675936010943</v>
      </c>
      <c r="AN222" s="240">
        <f t="shared" ca="1" si="83"/>
        <v>14887255.104133194</v>
      </c>
    </row>
    <row r="223" spans="9:40">
      <c r="I223" s="217">
        <f t="shared" si="94"/>
        <v>77.999999999999318</v>
      </c>
      <c r="J223" s="216">
        <f t="shared" ca="1" si="84"/>
        <v>62856.639291942876</v>
      </c>
      <c r="K223" s="216">
        <f t="shared" ca="1" si="85"/>
        <v>12885611.054848252</v>
      </c>
      <c r="M223" s="217">
        <f t="shared" si="95"/>
        <v>77.999999999999318</v>
      </c>
      <c r="N223" s="217">
        <f t="shared" ca="1" si="86"/>
        <v>0</v>
      </c>
      <c r="O223" s="216">
        <f t="shared" ca="1" si="87"/>
        <v>76363.675936010943</v>
      </c>
      <c r="P223" s="216">
        <f t="shared" ca="1" si="88"/>
        <v>15480260.217946324</v>
      </c>
      <c r="R223" s="217">
        <f t="shared" si="96"/>
        <v>77.999999999999318</v>
      </c>
      <c r="S223" s="240">
        <f t="shared" ca="1" si="89"/>
        <v>62856.639291942876</v>
      </c>
      <c r="T223" s="240">
        <f t="shared" ca="1" si="90"/>
        <v>12885611.054848252</v>
      </c>
      <c r="V223" s="217">
        <f t="shared" si="97"/>
        <v>77.999999999999318</v>
      </c>
      <c r="W223" s="217">
        <f t="shared" ca="1" si="91"/>
        <v>0</v>
      </c>
      <c r="X223" s="240">
        <f t="shared" ca="1" si="92"/>
        <v>76363.675936010943</v>
      </c>
      <c r="Y223" s="240">
        <f t="shared" ca="1" si="93"/>
        <v>15453251.321010958</v>
      </c>
      <c r="AF223" s="210">
        <f>ROW()</f>
        <v>223</v>
      </c>
      <c r="AG223" s="217">
        <f t="shared" si="98"/>
        <v>77.999999999999318</v>
      </c>
      <c r="AH223" s="217">
        <f t="shared" ca="1" si="79"/>
        <v>0</v>
      </c>
      <c r="AI223" s="217">
        <f ca="1">IF(AH222&lt;&gt;0,FINANCIAMIENTO!$F$5,0)</f>
        <v>0</v>
      </c>
      <c r="AJ223" s="240" t="b">
        <f t="shared" ca="1" si="99"/>
        <v>0</v>
      </c>
      <c r="AK223" s="240">
        <f t="shared" ca="1" si="80"/>
        <v>0</v>
      </c>
      <c r="AL223" s="240">
        <f t="shared" ca="1" si="81"/>
        <v>76363.675936010943</v>
      </c>
      <c r="AM223" s="240">
        <f t="shared" ca="1" si="82"/>
        <v>76363.675936010943</v>
      </c>
      <c r="AN223" s="240">
        <f t="shared" ca="1" si="83"/>
        <v>14963618.780069206</v>
      </c>
    </row>
    <row r="224" spans="9:40">
      <c r="I224" s="217">
        <f t="shared" si="94"/>
        <v>78.083333333332646</v>
      </c>
      <c r="J224" s="216">
        <f t="shared" ca="1" si="84"/>
        <v>62856.639291942876</v>
      </c>
      <c r="K224" s="216">
        <f t="shared" ca="1" si="85"/>
        <v>12948467.694140194</v>
      </c>
      <c r="M224" s="217">
        <f t="shared" si="95"/>
        <v>78.083333333332646</v>
      </c>
      <c r="N224" s="217">
        <f t="shared" ca="1" si="86"/>
        <v>0</v>
      </c>
      <c r="O224" s="216">
        <f t="shared" ca="1" si="87"/>
        <v>76363.675936010943</v>
      </c>
      <c r="P224" s="216">
        <f t="shared" ca="1" si="88"/>
        <v>15556623.893882336</v>
      </c>
      <c r="R224" s="217">
        <f t="shared" si="96"/>
        <v>78.083333333332646</v>
      </c>
      <c r="S224" s="240">
        <f t="shared" ca="1" si="89"/>
        <v>62856.639291942876</v>
      </c>
      <c r="T224" s="240">
        <f t="shared" ca="1" si="90"/>
        <v>12948467.694140194</v>
      </c>
      <c r="V224" s="217">
        <f t="shared" si="97"/>
        <v>78.083333333332646</v>
      </c>
      <c r="W224" s="217">
        <f t="shared" ca="1" si="91"/>
        <v>0</v>
      </c>
      <c r="X224" s="240">
        <f t="shared" ca="1" si="92"/>
        <v>76363.675936010943</v>
      </c>
      <c r="Y224" s="240">
        <f t="shared" ca="1" si="93"/>
        <v>15529614.99694697</v>
      </c>
      <c r="AF224" s="210">
        <f>ROW()</f>
        <v>224</v>
      </c>
      <c r="AG224" s="217">
        <f t="shared" si="98"/>
        <v>78.083333333332646</v>
      </c>
      <c r="AH224" s="217">
        <f t="shared" ca="1" si="79"/>
        <v>0</v>
      </c>
      <c r="AI224" s="217">
        <f ca="1">IF(AH223&lt;&gt;0,FINANCIAMIENTO!$F$5,0)</f>
        <v>0</v>
      </c>
      <c r="AJ224" s="240" t="b">
        <f t="shared" ca="1" si="99"/>
        <v>0</v>
      </c>
      <c r="AK224" s="240">
        <f t="shared" ca="1" si="80"/>
        <v>0</v>
      </c>
      <c r="AL224" s="240">
        <f t="shared" ca="1" si="81"/>
        <v>76363.675936010943</v>
      </c>
      <c r="AM224" s="240">
        <f t="shared" ca="1" si="82"/>
        <v>76363.675936010943</v>
      </c>
      <c r="AN224" s="240">
        <f t="shared" ca="1" si="83"/>
        <v>15039982.456005218</v>
      </c>
    </row>
    <row r="225" spans="9:40">
      <c r="I225" s="217">
        <f t="shared" si="94"/>
        <v>78.166666666665975</v>
      </c>
      <c r="J225" s="216">
        <f t="shared" ca="1" si="84"/>
        <v>62856.639291942876</v>
      </c>
      <c r="K225" s="216">
        <f t="shared" ca="1" si="85"/>
        <v>13011324.333432136</v>
      </c>
      <c r="M225" s="217">
        <f t="shared" si="95"/>
        <v>78.166666666665975</v>
      </c>
      <c r="N225" s="217">
        <f t="shared" ca="1" si="86"/>
        <v>0</v>
      </c>
      <c r="O225" s="216">
        <f t="shared" ca="1" si="87"/>
        <v>76363.675936010943</v>
      </c>
      <c r="P225" s="216">
        <f t="shared" ca="1" si="88"/>
        <v>15632987.569818348</v>
      </c>
      <c r="R225" s="217">
        <f t="shared" si="96"/>
        <v>78.166666666665975</v>
      </c>
      <c r="S225" s="240">
        <f t="shared" ca="1" si="89"/>
        <v>62856.639291942876</v>
      </c>
      <c r="T225" s="240">
        <f t="shared" ca="1" si="90"/>
        <v>13011324.333432136</v>
      </c>
      <c r="V225" s="217">
        <f t="shared" si="97"/>
        <v>78.166666666665975</v>
      </c>
      <c r="W225" s="217">
        <f t="shared" ca="1" si="91"/>
        <v>0</v>
      </c>
      <c r="X225" s="240">
        <f t="shared" ca="1" si="92"/>
        <v>76363.675936010943</v>
      </c>
      <c r="Y225" s="240">
        <f t="shared" ca="1" si="93"/>
        <v>15605978.672882982</v>
      </c>
      <c r="AF225" s="210">
        <f>ROW()</f>
        <v>225</v>
      </c>
      <c r="AG225" s="217">
        <f t="shared" si="98"/>
        <v>78.166666666665975</v>
      </c>
      <c r="AH225" s="217">
        <f t="shared" ca="1" si="79"/>
        <v>0</v>
      </c>
      <c r="AI225" s="217">
        <f ca="1">IF(AH224&lt;&gt;0,FINANCIAMIENTO!$F$5,0)</f>
        <v>0</v>
      </c>
      <c r="AJ225" s="240" t="b">
        <f t="shared" ca="1" si="99"/>
        <v>0</v>
      </c>
      <c r="AK225" s="240">
        <f t="shared" ca="1" si="80"/>
        <v>0</v>
      </c>
      <c r="AL225" s="240">
        <f t="shared" ca="1" si="81"/>
        <v>76363.675936010943</v>
      </c>
      <c r="AM225" s="240">
        <f t="shared" ca="1" si="82"/>
        <v>76363.675936010943</v>
      </c>
      <c r="AN225" s="240">
        <f t="shared" ca="1" si="83"/>
        <v>15116346.131941229</v>
      </c>
    </row>
    <row r="226" spans="9:40">
      <c r="I226" s="217">
        <f t="shared" si="94"/>
        <v>78.249999999999304</v>
      </c>
      <c r="J226" s="216">
        <f t="shared" ca="1" si="84"/>
        <v>62856.639291942876</v>
      </c>
      <c r="K226" s="216">
        <f t="shared" ca="1" si="85"/>
        <v>13074180.972724078</v>
      </c>
      <c r="M226" s="217">
        <f t="shared" si="95"/>
        <v>78.249999999999304</v>
      </c>
      <c r="N226" s="217">
        <f t="shared" ca="1" si="86"/>
        <v>0</v>
      </c>
      <c r="O226" s="216">
        <f t="shared" ca="1" si="87"/>
        <v>76363.675936010943</v>
      </c>
      <c r="P226" s="216">
        <f t="shared" ca="1" si="88"/>
        <v>15709351.245754359</v>
      </c>
      <c r="R226" s="217">
        <f t="shared" si="96"/>
        <v>78.249999999999304</v>
      </c>
      <c r="S226" s="240">
        <f t="shared" ca="1" si="89"/>
        <v>62856.639291942876</v>
      </c>
      <c r="T226" s="240">
        <f t="shared" ca="1" si="90"/>
        <v>13074180.972724078</v>
      </c>
      <c r="V226" s="217">
        <f t="shared" si="97"/>
        <v>78.249999999999304</v>
      </c>
      <c r="W226" s="217">
        <f t="shared" ca="1" si="91"/>
        <v>0</v>
      </c>
      <c r="X226" s="240">
        <f t="shared" ca="1" si="92"/>
        <v>76363.675936010943</v>
      </c>
      <c r="Y226" s="240">
        <f t="shared" ca="1" si="93"/>
        <v>15682342.348818993</v>
      </c>
      <c r="AF226" s="210">
        <f>ROW()</f>
        <v>226</v>
      </c>
      <c r="AG226" s="217">
        <f t="shared" si="98"/>
        <v>78.249999999999304</v>
      </c>
      <c r="AH226" s="217">
        <f t="shared" ca="1" si="79"/>
        <v>0</v>
      </c>
      <c r="AI226" s="217">
        <f ca="1">IF(AH225&lt;&gt;0,FINANCIAMIENTO!$F$5,0)</f>
        <v>0</v>
      </c>
      <c r="AJ226" s="240" t="b">
        <f t="shared" ca="1" si="99"/>
        <v>0</v>
      </c>
      <c r="AK226" s="240">
        <f t="shared" ca="1" si="80"/>
        <v>0</v>
      </c>
      <c r="AL226" s="240">
        <f t="shared" ca="1" si="81"/>
        <v>76363.675936010943</v>
      </c>
      <c r="AM226" s="240">
        <f t="shared" ca="1" si="82"/>
        <v>76363.675936010943</v>
      </c>
      <c r="AN226" s="240">
        <f t="shared" ca="1" si="83"/>
        <v>15192709.807877241</v>
      </c>
    </row>
    <row r="227" spans="9:40">
      <c r="I227" s="217">
        <f t="shared" si="94"/>
        <v>78.333333333332632</v>
      </c>
      <c r="J227" s="216">
        <f t="shared" ca="1" si="84"/>
        <v>62856.639291942876</v>
      </c>
      <c r="K227" s="216">
        <f t="shared" ca="1" si="85"/>
        <v>13137037.61201602</v>
      </c>
      <c r="M227" s="217">
        <f t="shared" si="95"/>
        <v>78.333333333332632</v>
      </c>
      <c r="N227" s="217">
        <f t="shared" ca="1" si="86"/>
        <v>0</v>
      </c>
      <c r="O227" s="216">
        <f t="shared" ca="1" si="87"/>
        <v>76363.675936010943</v>
      </c>
      <c r="P227" s="216">
        <f t="shared" ca="1" si="88"/>
        <v>15785714.921690371</v>
      </c>
      <c r="R227" s="217">
        <f t="shared" si="96"/>
        <v>78.333333333332632</v>
      </c>
      <c r="S227" s="240">
        <f t="shared" ca="1" si="89"/>
        <v>62856.639291942876</v>
      </c>
      <c r="T227" s="240">
        <f t="shared" ca="1" si="90"/>
        <v>13137037.61201602</v>
      </c>
      <c r="V227" s="217">
        <f t="shared" si="97"/>
        <v>78.333333333332632</v>
      </c>
      <c r="W227" s="217">
        <f t="shared" ca="1" si="91"/>
        <v>0</v>
      </c>
      <c r="X227" s="240">
        <f t="shared" ca="1" si="92"/>
        <v>76363.675936010943</v>
      </c>
      <c r="Y227" s="240">
        <f t="shared" ca="1" si="93"/>
        <v>15758706.024755005</v>
      </c>
      <c r="AF227" s="210">
        <f>ROW()</f>
        <v>227</v>
      </c>
      <c r="AG227" s="217">
        <f t="shared" si="98"/>
        <v>78.333333333332632</v>
      </c>
      <c r="AH227" s="217">
        <f t="shared" ca="1" si="79"/>
        <v>0</v>
      </c>
      <c r="AI227" s="217">
        <f ca="1">IF(AH226&lt;&gt;0,FINANCIAMIENTO!$F$5,0)</f>
        <v>0</v>
      </c>
      <c r="AJ227" s="240" t="b">
        <f t="shared" ca="1" si="99"/>
        <v>0</v>
      </c>
      <c r="AK227" s="240">
        <f t="shared" ca="1" si="80"/>
        <v>0</v>
      </c>
      <c r="AL227" s="240">
        <f t="shared" ca="1" si="81"/>
        <v>76363.675936010943</v>
      </c>
      <c r="AM227" s="240">
        <f t="shared" ca="1" si="82"/>
        <v>76363.675936010943</v>
      </c>
      <c r="AN227" s="240">
        <f t="shared" ca="1" si="83"/>
        <v>15269073.483813252</v>
      </c>
    </row>
    <row r="228" spans="9:40">
      <c r="I228" s="217">
        <f t="shared" si="94"/>
        <v>78.416666666665961</v>
      </c>
      <c r="J228" s="216">
        <f t="shared" ca="1" si="84"/>
        <v>62856.639291942876</v>
      </c>
      <c r="K228" s="216">
        <f t="shared" ca="1" si="85"/>
        <v>13199894.251307962</v>
      </c>
      <c r="M228" s="217">
        <f t="shared" si="95"/>
        <v>78.416666666665961</v>
      </c>
      <c r="N228" s="217">
        <f t="shared" ca="1" si="86"/>
        <v>0</v>
      </c>
      <c r="O228" s="216">
        <f t="shared" ca="1" si="87"/>
        <v>76363.675936010943</v>
      </c>
      <c r="P228" s="216">
        <f t="shared" ca="1" si="88"/>
        <v>15862078.597626382</v>
      </c>
      <c r="R228" s="217">
        <f t="shared" si="96"/>
        <v>78.416666666665961</v>
      </c>
      <c r="S228" s="240">
        <f t="shared" ca="1" si="89"/>
        <v>62856.639291942876</v>
      </c>
      <c r="T228" s="240">
        <f t="shared" ca="1" si="90"/>
        <v>13199894.251307962</v>
      </c>
      <c r="V228" s="217">
        <f t="shared" si="97"/>
        <v>78.416666666665961</v>
      </c>
      <c r="W228" s="217">
        <f t="shared" ca="1" si="91"/>
        <v>0</v>
      </c>
      <c r="X228" s="240">
        <f t="shared" ca="1" si="92"/>
        <v>76363.675936010943</v>
      </c>
      <c r="Y228" s="240">
        <f t="shared" ca="1" si="93"/>
        <v>15835069.700691016</v>
      </c>
      <c r="AF228" s="210">
        <f>ROW()</f>
        <v>228</v>
      </c>
      <c r="AG228" s="217">
        <f t="shared" si="98"/>
        <v>78.416666666665961</v>
      </c>
      <c r="AH228" s="217">
        <f t="shared" ca="1" si="79"/>
        <v>0</v>
      </c>
      <c r="AI228" s="217">
        <f ca="1">IF(AH227&lt;&gt;0,FINANCIAMIENTO!$F$5,0)</f>
        <v>0</v>
      </c>
      <c r="AJ228" s="240" t="b">
        <f t="shared" ca="1" si="99"/>
        <v>0</v>
      </c>
      <c r="AK228" s="240">
        <f t="shared" ca="1" si="80"/>
        <v>0</v>
      </c>
      <c r="AL228" s="240">
        <f t="shared" ca="1" si="81"/>
        <v>76363.675936010943</v>
      </c>
      <c r="AM228" s="240">
        <f t="shared" ca="1" si="82"/>
        <v>76363.675936010943</v>
      </c>
      <c r="AN228" s="240">
        <f t="shared" ca="1" si="83"/>
        <v>15345437.159749264</v>
      </c>
    </row>
    <row r="229" spans="9:40">
      <c r="I229" s="217">
        <f t="shared" si="94"/>
        <v>78.499999999999289</v>
      </c>
      <c r="J229" s="216">
        <f t="shared" ca="1" si="84"/>
        <v>62856.639291942876</v>
      </c>
      <c r="K229" s="216">
        <f t="shared" ca="1" si="85"/>
        <v>13262750.890599905</v>
      </c>
      <c r="M229" s="217">
        <f t="shared" si="95"/>
        <v>78.499999999999289</v>
      </c>
      <c r="N229" s="217">
        <f t="shared" ca="1" si="86"/>
        <v>0</v>
      </c>
      <c r="O229" s="216">
        <f t="shared" ca="1" si="87"/>
        <v>76363.675936010943</v>
      </c>
      <c r="P229" s="216">
        <f t="shared" ca="1" si="88"/>
        <v>15938442.273562394</v>
      </c>
      <c r="R229" s="217">
        <f t="shared" si="96"/>
        <v>78.499999999999289</v>
      </c>
      <c r="S229" s="240">
        <f t="shared" ca="1" si="89"/>
        <v>62856.639291942876</v>
      </c>
      <c r="T229" s="240">
        <f t="shared" ca="1" si="90"/>
        <v>13262750.890599905</v>
      </c>
      <c r="V229" s="217">
        <f t="shared" si="97"/>
        <v>78.499999999999289</v>
      </c>
      <c r="W229" s="217">
        <f t="shared" ca="1" si="91"/>
        <v>0</v>
      </c>
      <c r="X229" s="240">
        <f t="shared" ca="1" si="92"/>
        <v>76363.675936010943</v>
      </c>
      <c r="Y229" s="240">
        <f t="shared" ca="1" si="93"/>
        <v>15911433.376627028</v>
      </c>
      <c r="AF229" s="210">
        <f>ROW()</f>
        <v>229</v>
      </c>
      <c r="AG229" s="217">
        <f t="shared" si="98"/>
        <v>78.499999999999289</v>
      </c>
      <c r="AH229" s="217">
        <f t="shared" ca="1" si="79"/>
        <v>0</v>
      </c>
      <c r="AI229" s="217">
        <f ca="1">IF(AH228&lt;&gt;0,FINANCIAMIENTO!$F$5,0)</f>
        <v>0</v>
      </c>
      <c r="AJ229" s="240" t="b">
        <f t="shared" ca="1" si="99"/>
        <v>0</v>
      </c>
      <c r="AK229" s="240">
        <f t="shared" ca="1" si="80"/>
        <v>0</v>
      </c>
      <c r="AL229" s="240">
        <f t="shared" ca="1" si="81"/>
        <v>76363.675936010943</v>
      </c>
      <c r="AM229" s="240">
        <f t="shared" ca="1" si="82"/>
        <v>76363.675936010943</v>
      </c>
      <c r="AN229" s="240">
        <f t="shared" ca="1" si="83"/>
        <v>15421800.835685275</v>
      </c>
    </row>
    <row r="230" spans="9:40">
      <c r="I230" s="217">
        <f t="shared" si="94"/>
        <v>78.583333333332618</v>
      </c>
      <c r="J230" s="216">
        <f t="shared" ca="1" si="84"/>
        <v>62856.639291942876</v>
      </c>
      <c r="K230" s="216">
        <f t="shared" ca="1" si="85"/>
        <v>13325607.529891847</v>
      </c>
      <c r="M230" s="217">
        <f t="shared" si="95"/>
        <v>78.583333333332618</v>
      </c>
      <c r="N230" s="217">
        <f t="shared" ca="1" si="86"/>
        <v>0</v>
      </c>
      <c r="O230" s="216">
        <f t="shared" ca="1" si="87"/>
        <v>76363.675936010943</v>
      </c>
      <c r="P230" s="216">
        <f t="shared" ca="1" si="88"/>
        <v>16014805.949498406</v>
      </c>
      <c r="R230" s="217">
        <f t="shared" si="96"/>
        <v>78.583333333332618</v>
      </c>
      <c r="S230" s="240">
        <f t="shared" ca="1" si="89"/>
        <v>62856.639291942876</v>
      </c>
      <c r="T230" s="240">
        <f t="shared" ca="1" si="90"/>
        <v>13325607.529891847</v>
      </c>
      <c r="V230" s="217">
        <f t="shared" si="97"/>
        <v>78.583333333332618</v>
      </c>
      <c r="W230" s="217">
        <f t="shared" ca="1" si="91"/>
        <v>0</v>
      </c>
      <c r="X230" s="240">
        <f t="shared" ca="1" si="92"/>
        <v>76363.675936010943</v>
      </c>
      <c r="Y230" s="240">
        <f t="shared" ca="1" si="93"/>
        <v>15987797.05256304</v>
      </c>
      <c r="AF230" s="210">
        <f>ROW()</f>
        <v>230</v>
      </c>
      <c r="AG230" s="217">
        <f t="shared" si="98"/>
        <v>78.583333333332618</v>
      </c>
      <c r="AH230" s="217">
        <f t="shared" ca="1" si="79"/>
        <v>0</v>
      </c>
      <c r="AI230" s="217">
        <f ca="1">IF(AH229&lt;&gt;0,FINANCIAMIENTO!$F$5,0)</f>
        <v>0</v>
      </c>
      <c r="AJ230" s="240" t="b">
        <f t="shared" ca="1" si="99"/>
        <v>0</v>
      </c>
      <c r="AK230" s="240">
        <f t="shared" ca="1" si="80"/>
        <v>0</v>
      </c>
      <c r="AL230" s="240">
        <f t="shared" ca="1" si="81"/>
        <v>76363.675936010943</v>
      </c>
      <c r="AM230" s="240">
        <f t="shared" ca="1" si="82"/>
        <v>76363.675936010943</v>
      </c>
      <c r="AN230" s="240">
        <f t="shared" ca="1" si="83"/>
        <v>15498164.511621287</v>
      </c>
    </row>
    <row r="231" spans="9:40">
      <c r="I231" s="217">
        <f t="shared" si="94"/>
        <v>78.666666666665947</v>
      </c>
      <c r="J231" s="216">
        <f t="shared" ca="1" si="84"/>
        <v>62856.639291942876</v>
      </c>
      <c r="K231" s="216">
        <f t="shared" ca="1" si="85"/>
        <v>13388464.169183789</v>
      </c>
      <c r="M231" s="217">
        <f t="shared" si="95"/>
        <v>78.666666666665947</v>
      </c>
      <c r="N231" s="217">
        <f t="shared" ca="1" si="86"/>
        <v>0</v>
      </c>
      <c r="O231" s="216">
        <f t="shared" ca="1" si="87"/>
        <v>76363.675936010943</v>
      </c>
      <c r="P231" s="216">
        <f t="shared" ca="1" si="88"/>
        <v>16091169.625434417</v>
      </c>
      <c r="R231" s="217">
        <f t="shared" si="96"/>
        <v>78.666666666665947</v>
      </c>
      <c r="S231" s="240">
        <f t="shared" ca="1" si="89"/>
        <v>62856.639291942876</v>
      </c>
      <c r="T231" s="240">
        <f t="shared" ca="1" si="90"/>
        <v>13388464.169183789</v>
      </c>
      <c r="V231" s="217">
        <f t="shared" si="97"/>
        <v>78.666666666665947</v>
      </c>
      <c r="W231" s="217">
        <f t="shared" ca="1" si="91"/>
        <v>0</v>
      </c>
      <c r="X231" s="240">
        <f t="shared" ca="1" si="92"/>
        <v>76363.675936010943</v>
      </c>
      <c r="Y231" s="240">
        <f t="shared" ca="1" si="93"/>
        <v>16064160.728499051</v>
      </c>
      <c r="AF231" s="210">
        <f>ROW()</f>
        <v>231</v>
      </c>
      <c r="AG231" s="217">
        <f t="shared" si="98"/>
        <v>78.666666666665947</v>
      </c>
      <c r="AH231" s="217">
        <f t="shared" ca="1" si="79"/>
        <v>0</v>
      </c>
      <c r="AI231" s="217">
        <f ca="1">IF(AH230&lt;&gt;0,FINANCIAMIENTO!$F$5,0)</f>
        <v>0</v>
      </c>
      <c r="AJ231" s="240" t="b">
        <f t="shared" ca="1" si="99"/>
        <v>0</v>
      </c>
      <c r="AK231" s="240">
        <f t="shared" ca="1" si="80"/>
        <v>0</v>
      </c>
      <c r="AL231" s="240">
        <f t="shared" ca="1" si="81"/>
        <v>76363.675936010943</v>
      </c>
      <c r="AM231" s="240">
        <f t="shared" ca="1" si="82"/>
        <v>76363.675936010943</v>
      </c>
      <c r="AN231" s="240">
        <f t="shared" ca="1" si="83"/>
        <v>15574528.187557299</v>
      </c>
    </row>
    <row r="232" spans="9:40">
      <c r="I232" s="217">
        <f t="shared" si="94"/>
        <v>78.749999999999275</v>
      </c>
      <c r="J232" s="216">
        <f t="shared" ca="1" si="84"/>
        <v>62856.639291942876</v>
      </c>
      <c r="K232" s="216">
        <f t="shared" ca="1" si="85"/>
        <v>13451320.808475731</v>
      </c>
      <c r="M232" s="217">
        <f t="shared" si="95"/>
        <v>78.749999999999275</v>
      </c>
      <c r="N232" s="217">
        <f t="shared" ca="1" si="86"/>
        <v>0</v>
      </c>
      <c r="O232" s="216">
        <f t="shared" ca="1" si="87"/>
        <v>76363.675936010943</v>
      </c>
      <c r="P232" s="216">
        <f t="shared" ca="1" si="88"/>
        <v>16167533.301370429</v>
      </c>
      <c r="R232" s="217">
        <f t="shared" si="96"/>
        <v>78.749999999999275</v>
      </c>
      <c r="S232" s="240">
        <f t="shared" ca="1" si="89"/>
        <v>62856.639291942876</v>
      </c>
      <c r="T232" s="240">
        <f t="shared" ca="1" si="90"/>
        <v>13451320.808475731</v>
      </c>
      <c r="V232" s="217">
        <f t="shared" si="97"/>
        <v>78.749999999999275</v>
      </c>
      <c r="W232" s="217">
        <f t="shared" ca="1" si="91"/>
        <v>0</v>
      </c>
      <c r="X232" s="240">
        <f t="shared" ca="1" si="92"/>
        <v>76363.675936010943</v>
      </c>
      <c r="Y232" s="240">
        <f t="shared" ca="1" si="93"/>
        <v>16140524.404435063</v>
      </c>
      <c r="AF232" s="210">
        <f>ROW()</f>
        <v>232</v>
      </c>
      <c r="AG232" s="217">
        <f t="shared" si="98"/>
        <v>78.749999999999275</v>
      </c>
      <c r="AH232" s="217">
        <f t="shared" ca="1" si="79"/>
        <v>0</v>
      </c>
      <c r="AI232" s="217">
        <f ca="1">IF(AH231&lt;&gt;0,FINANCIAMIENTO!$F$5,0)</f>
        <v>0</v>
      </c>
      <c r="AJ232" s="240" t="b">
        <f t="shared" ca="1" si="99"/>
        <v>0</v>
      </c>
      <c r="AK232" s="240">
        <f t="shared" ca="1" si="80"/>
        <v>0</v>
      </c>
      <c r="AL232" s="240">
        <f t="shared" ca="1" si="81"/>
        <v>76363.675936010943</v>
      </c>
      <c r="AM232" s="240">
        <f t="shared" ca="1" si="82"/>
        <v>76363.675936010943</v>
      </c>
      <c r="AN232" s="240">
        <f t="shared" ca="1" si="83"/>
        <v>15650891.86349331</v>
      </c>
    </row>
    <row r="233" spans="9:40">
      <c r="I233" s="217">
        <f t="shared" si="94"/>
        <v>78.833333333332604</v>
      </c>
      <c r="J233" s="216">
        <f t="shared" ca="1" si="84"/>
        <v>62856.639291942876</v>
      </c>
      <c r="K233" s="216">
        <f t="shared" ca="1" si="85"/>
        <v>13514177.447767673</v>
      </c>
      <c r="M233" s="217">
        <f t="shared" si="95"/>
        <v>78.833333333332604</v>
      </c>
      <c r="N233" s="217">
        <f t="shared" ca="1" si="86"/>
        <v>0</v>
      </c>
      <c r="O233" s="216">
        <f t="shared" ca="1" si="87"/>
        <v>76363.675936010943</v>
      </c>
      <c r="P233" s="216">
        <f t="shared" ca="1" si="88"/>
        <v>16243896.97730644</v>
      </c>
      <c r="R233" s="217">
        <f t="shared" si="96"/>
        <v>78.833333333332604</v>
      </c>
      <c r="S233" s="240">
        <f t="shared" ca="1" si="89"/>
        <v>62856.639291942876</v>
      </c>
      <c r="T233" s="240">
        <f t="shared" ca="1" si="90"/>
        <v>13514177.447767673</v>
      </c>
      <c r="V233" s="217">
        <f t="shared" si="97"/>
        <v>78.833333333332604</v>
      </c>
      <c r="W233" s="217">
        <f t="shared" ca="1" si="91"/>
        <v>0</v>
      </c>
      <c r="X233" s="240">
        <f t="shared" ca="1" si="92"/>
        <v>76363.675936010943</v>
      </c>
      <c r="Y233" s="240">
        <f t="shared" ca="1" si="93"/>
        <v>16216888.080371074</v>
      </c>
      <c r="AF233" s="210">
        <f>ROW()</f>
        <v>233</v>
      </c>
      <c r="AG233" s="217">
        <f t="shared" si="98"/>
        <v>78.833333333332604</v>
      </c>
      <c r="AH233" s="217">
        <f t="shared" ca="1" si="79"/>
        <v>0</v>
      </c>
      <c r="AI233" s="217">
        <f ca="1">IF(AH232&lt;&gt;0,FINANCIAMIENTO!$F$5,0)</f>
        <v>0</v>
      </c>
      <c r="AJ233" s="240" t="b">
        <f t="shared" ca="1" si="99"/>
        <v>0</v>
      </c>
      <c r="AK233" s="240">
        <f t="shared" ca="1" si="80"/>
        <v>0</v>
      </c>
      <c r="AL233" s="240">
        <f t="shared" ca="1" si="81"/>
        <v>76363.675936010943</v>
      </c>
      <c r="AM233" s="240">
        <f t="shared" ca="1" si="82"/>
        <v>76363.675936010943</v>
      </c>
      <c r="AN233" s="240">
        <f t="shared" ca="1" si="83"/>
        <v>15727255.539429322</v>
      </c>
    </row>
    <row r="234" spans="9:40">
      <c r="I234" s="217">
        <f t="shared" si="94"/>
        <v>78.916666666665932</v>
      </c>
      <c r="J234" s="216">
        <f t="shared" ca="1" si="84"/>
        <v>62856.639291942876</v>
      </c>
      <c r="K234" s="216">
        <f t="shared" ca="1" si="85"/>
        <v>13577034.087059615</v>
      </c>
      <c r="M234" s="217">
        <f t="shared" si="95"/>
        <v>78.916666666665932</v>
      </c>
      <c r="N234" s="217">
        <f t="shared" ca="1" si="86"/>
        <v>0</v>
      </c>
      <c r="O234" s="216">
        <f t="shared" ca="1" si="87"/>
        <v>76363.675936010943</v>
      </c>
      <c r="P234" s="216">
        <f t="shared" ca="1" si="88"/>
        <v>16320260.653242452</v>
      </c>
      <c r="R234" s="217">
        <f t="shared" si="96"/>
        <v>78.916666666665932</v>
      </c>
      <c r="S234" s="240">
        <f t="shared" ca="1" si="89"/>
        <v>62856.639291942876</v>
      </c>
      <c r="T234" s="240">
        <f t="shared" ca="1" si="90"/>
        <v>13577034.087059615</v>
      </c>
      <c r="V234" s="217">
        <f t="shared" si="97"/>
        <v>78.916666666665932</v>
      </c>
      <c r="W234" s="217">
        <f t="shared" ca="1" si="91"/>
        <v>0</v>
      </c>
      <c r="X234" s="240">
        <f t="shared" ca="1" si="92"/>
        <v>76363.675936010943</v>
      </c>
      <c r="Y234" s="240">
        <f t="shared" ca="1" si="93"/>
        <v>16293251.756307086</v>
      </c>
      <c r="AF234" s="210">
        <f>ROW()</f>
        <v>234</v>
      </c>
      <c r="AG234" s="217">
        <f t="shared" si="98"/>
        <v>78.916666666665932</v>
      </c>
      <c r="AH234" s="217">
        <f t="shared" ca="1" si="79"/>
        <v>0</v>
      </c>
      <c r="AI234" s="217">
        <f ca="1">IF(AH233&lt;&gt;0,FINANCIAMIENTO!$F$5,0)</f>
        <v>0</v>
      </c>
      <c r="AJ234" s="240" t="b">
        <f t="shared" ca="1" si="99"/>
        <v>0</v>
      </c>
      <c r="AK234" s="240">
        <f t="shared" ca="1" si="80"/>
        <v>0</v>
      </c>
      <c r="AL234" s="240">
        <f t="shared" ca="1" si="81"/>
        <v>76363.675936010943</v>
      </c>
      <c r="AM234" s="240">
        <f t="shared" ca="1" si="82"/>
        <v>76363.675936010943</v>
      </c>
      <c r="AN234" s="240">
        <f t="shared" ca="1" si="83"/>
        <v>15803619.215365333</v>
      </c>
    </row>
    <row r="235" spans="9:40">
      <c r="I235" s="217">
        <f t="shared" si="94"/>
        <v>78.999999999999261</v>
      </c>
      <c r="J235" s="216">
        <f t="shared" ca="1" si="84"/>
        <v>62856.639291942876</v>
      </c>
      <c r="K235" s="216">
        <f t="shared" ca="1" si="85"/>
        <v>13639890.726351557</v>
      </c>
      <c r="M235" s="217">
        <f t="shared" si="95"/>
        <v>78.999999999999261</v>
      </c>
      <c r="N235" s="217">
        <f t="shared" ca="1" si="86"/>
        <v>0</v>
      </c>
      <c r="O235" s="216">
        <f t="shared" ca="1" si="87"/>
        <v>76363.675936010943</v>
      </c>
      <c r="P235" s="216">
        <f t="shared" ca="1" si="88"/>
        <v>16396624.329178464</v>
      </c>
      <c r="R235" s="217">
        <f t="shared" si="96"/>
        <v>78.999999999999261</v>
      </c>
      <c r="S235" s="240">
        <f t="shared" ca="1" si="89"/>
        <v>62856.639291942876</v>
      </c>
      <c r="T235" s="240">
        <f t="shared" ca="1" si="90"/>
        <v>13639890.726351557</v>
      </c>
      <c r="V235" s="217">
        <f t="shared" si="97"/>
        <v>78.999999999999261</v>
      </c>
      <c r="W235" s="217">
        <f t="shared" ca="1" si="91"/>
        <v>0</v>
      </c>
      <c r="X235" s="240">
        <f t="shared" ca="1" si="92"/>
        <v>76363.675936010943</v>
      </c>
      <c r="Y235" s="240">
        <f t="shared" ca="1" si="93"/>
        <v>16369615.432243098</v>
      </c>
      <c r="AF235" s="210">
        <f>ROW()</f>
        <v>235</v>
      </c>
      <c r="AG235" s="217">
        <f t="shared" si="98"/>
        <v>78.999999999999261</v>
      </c>
      <c r="AH235" s="217">
        <f t="shared" ca="1" si="79"/>
        <v>0</v>
      </c>
      <c r="AI235" s="217">
        <f ca="1">IF(AH234&lt;&gt;0,FINANCIAMIENTO!$F$5,0)</f>
        <v>0</v>
      </c>
      <c r="AJ235" s="240" t="b">
        <f t="shared" ca="1" si="99"/>
        <v>0</v>
      </c>
      <c r="AK235" s="240">
        <f t="shared" ca="1" si="80"/>
        <v>0</v>
      </c>
      <c r="AL235" s="240">
        <f t="shared" ca="1" si="81"/>
        <v>76363.675936010943</v>
      </c>
      <c r="AM235" s="240">
        <f t="shared" ca="1" si="82"/>
        <v>76363.675936010943</v>
      </c>
      <c r="AN235" s="240">
        <f t="shared" ca="1" si="83"/>
        <v>15879982.891301345</v>
      </c>
    </row>
    <row r="236" spans="9:40">
      <c r="I236" s="217">
        <f t="shared" si="94"/>
        <v>79.08333333333259</v>
      </c>
      <c r="J236" s="216">
        <f t="shared" ca="1" si="84"/>
        <v>62856.639291942876</v>
      </c>
      <c r="K236" s="216">
        <f t="shared" ca="1" si="85"/>
        <v>13702747.365643499</v>
      </c>
      <c r="M236" s="217">
        <f t="shared" si="95"/>
        <v>79.08333333333259</v>
      </c>
      <c r="N236" s="217">
        <f t="shared" ca="1" si="86"/>
        <v>0</v>
      </c>
      <c r="O236" s="216">
        <f t="shared" ca="1" si="87"/>
        <v>76363.675936010943</v>
      </c>
      <c r="P236" s="216">
        <f t="shared" ca="1" si="88"/>
        <v>16472988.005114475</v>
      </c>
      <c r="R236" s="217">
        <f t="shared" si="96"/>
        <v>79.08333333333259</v>
      </c>
      <c r="S236" s="240">
        <f t="shared" ca="1" si="89"/>
        <v>62856.639291942876</v>
      </c>
      <c r="T236" s="240">
        <f t="shared" ca="1" si="90"/>
        <v>13702747.365643499</v>
      </c>
      <c r="V236" s="217">
        <f t="shared" si="97"/>
        <v>79.08333333333259</v>
      </c>
      <c r="W236" s="217">
        <f t="shared" ca="1" si="91"/>
        <v>0</v>
      </c>
      <c r="X236" s="240">
        <f t="shared" ca="1" si="92"/>
        <v>76363.675936010943</v>
      </c>
      <c r="Y236" s="240">
        <f t="shared" ca="1" si="93"/>
        <v>16445979.108179109</v>
      </c>
      <c r="AF236" s="210">
        <f>ROW()</f>
        <v>236</v>
      </c>
      <c r="AG236" s="217">
        <f t="shared" si="98"/>
        <v>79.08333333333259</v>
      </c>
      <c r="AH236" s="217">
        <f t="shared" ca="1" si="79"/>
        <v>0</v>
      </c>
      <c r="AI236" s="217">
        <f ca="1">IF(AH235&lt;&gt;0,FINANCIAMIENTO!$F$5,0)</f>
        <v>0</v>
      </c>
      <c r="AJ236" s="240" t="b">
        <f t="shared" ca="1" si="99"/>
        <v>0</v>
      </c>
      <c r="AK236" s="240">
        <f t="shared" ca="1" si="80"/>
        <v>0</v>
      </c>
      <c r="AL236" s="240">
        <f t="shared" ca="1" si="81"/>
        <v>76363.675936010943</v>
      </c>
      <c r="AM236" s="240">
        <f t="shared" ca="1" si="82"/>
        <v>76363.675936010943</v>
      </c>
      <c r="AN236" s="240">
        <f t="shared" ca="1" si="83"/>
        <v>15956346.567237357</v>
      </c>
    </row>
    <row r="237" spans="9:40">
      <c r="I237" s="217">
        <f t="shared" si="94"/>
        <v>79.166666666665918</v>
      </c>
      <c r="J237" s="216">
        <f t="shared" ca="1" si="84"/>
        <v>62856.639291942876</v>
      </c>
      <c r="K237" s="216">
        <f t="shared" ca="1" si="85"/>
        <v>13765604.004935442</v>
      </c>
      <c r="M237" s="217">
        <f t="shared" si="95"/>
        <v>79.166666666665918</v>
      </c>
      <c r="N237" s="217">
        <f t="shared" ca="1" si="86"/>
        <v>0</v>
      </c>
      <c r="O237" s="216">
        <f t="shared" ca="1" si="87"/>
        <v>76363.675936010943</v>
      </c>
      <c r="P237" s="216">
        <f t="shared" ca="1" si="88"/>
        <v>16549351.681050487</v>
      </c>
      <c r="R237" s="217">
        <f t="shared" si="96"/>
        <v>79.166666666665918</v>
      </c>
      <c r="S237" s="240">
        <f t="shared" ca="1" si="89"/>
        <v>62856.639291942876</v>
      </c>
      <c r="T237" s="240">
        <f t="shared" ca="1" si="90"/>
        <v>13765604.004935442</v>
      </c>
      <c r="V237" s="217">
        <f t="shared" si="97"/>
        <v>79.166666666665918</v>
      </c>
      <c r="W237" s="217">
        <f t="shared" ca="1" si="91"/>
        <v>0</v>
      </c>
      <c r="X237" s="240">
        <f t="shared" ca="1" si="92"/>
        <v>76363.675936010943</v>
      </c>
      <c r="Y237" s="240">
        <f t="shared" ca="1" si="93"/>
        <v>16522342.784115121</v>
      </c>
      <c r="AF237" s="210">
        <f>ROW()</f>
        <v>237</v>
      </c>
      <c r="AG237" s="217">
        <f t="shared" si="98"/>
        <v>79.166666666665918</v>
      </c>
      <c r="AH237" s="217">
        <f t="shared" ca="1" si="79"/>
        <v>0</v>
      </c>
      <c r="AI237" s="217">
        <f ca="1">IF(AH236&lt;&gt;0,FINANCIAMIENTO!$F$5,0)</f>
        <v>0</v>
      </c>
      <c r="AJ237" s="240" t="b">
        <f t="shared" ca="1" si="99"/>
        <v>0</v>
      </c>
      <c r="AK237" s="240">
        <f t="shared" ca="1" si="80"/>
        <v>0</v>
      </c>
      <c r="AL237" s="240">
        <f t="shared" ca="1" si="81"/>
        <v>76363.675936010943</v>
      </c>
      <c r="AM237" s="240">
        <f t="shared" ca="1" si="82"/>
        <v>76363.675936010943</v>
      </c>
      <c r="AN237" s="240">
        <f t="shared" ca="1" si="83"/>
        <v>16032710.243173368</v>
      </c>
    </row>
    <row r="238" spans="9:40">
      <c r="I238" s="217">
        <f t="shared" si="94"/>
        <v>79.249999999999247</v>
      </c>
      <c r="J238" s="216">
        <f t="shared" ca="1" si="84"/>
        <v>62856.639291942876</v>
      </c>
      <c r="K238" s="216">
        <f t="shared" ca="1" si="85"/>
        <v>13828460.644227384</v>
      </c>
      <c r="M238" s="217">
        <f t="shared" si="95"/>
        <v>79.249999999999247</v>
      </c>
      <c r="N238" s="217">
        <f t="shared" ca="1" si="86"/>
        <v>0</v>
      </c>
      <c r="O238" s="216">
        <f t="shared" ca="1" si="87"/>
        <v>76363.675936010943</v>
      </c>
      <c r="P238" s="216">
        <f t="shared" ca="1" si="88"/>
        <v>16625715.356986498</v>
      </c>
      <c r="R238" s="217">
        <f t="shared" si="96"/>
        <v>79.249999999999247</v>
      </c>
      <c r="S238" s="240">
        <f t="shared" ca="1" si="89"/>
        <v>62856.639291942876</v>
      </c>
      <c r="T238" s="240">
        <f t="shared" ca="1" si="90"/>
        <v>13828460.644227384</v>
      </c>
      <c r="V238" s="217">
        <f t="shared" si="97"/>
        <v>79.249999999999247</v>
      </c>
      <c r="W238" s="217">
        <f t="shared" ca="1" si="91"/>
        <v>0</v>
      </c>
      <c r="X238" s="240">
        <f t="shared" ca="1" si="92"/>
        <v>76363.675936010943</v>
      </c>
      <c r="Y238" s="240">
        <f t="shared" ca="1" si="93"/>
        <v>16598706.460051132</v>
      </c>
      <c r="AF238" s="210">
        <f>ROW()</f>
        <v>238</v>
      </c>
      <c r="AG238" s="217">
        <f t="shared" si="98"/>
        <v>79.249999999999247</v>
      </c>
      <c r="AH238" s="217">
        <f t="shared" ca="1" si="79"/>
        <v>0</v>
      </c>
      <c r="AI238" s="217">
        <f ca="1">IF(AH237&lt;&gt;0,FINANCIAMIENTO!$F$5,0)</f>
        <v>0</v>
      </c>
      <c r="AJ238" s="240" t="b">
        <f t="shared" ca="1" si="99"/>
        <v>0</v>
      </c>
      <c r="AK238" s="240">
        <f t="shared" ca="1" si="80"/>
        <v>0</v>
      </c>
      <c r="AL238" s="240">
        <f t="shared" ca="1" si="81"/>
        <v>76363.675936010943</v>
      </c>
      <c r="AM238" s="240">
        <f t="shared" ca="1" si="82"/>
        <v>76363.675936010943</v>
      </c>
      <c r="AN238" s="240">
        <f t="shared" ca="1" si="83"/>
        <v>16109073.91910938</v>
      </c>
    </row>
    <row r="239" spans="9:40">
      <c r="I239" s="217">
        <f t="shared" si="94"/>
        <v>79.333333333332575</v>
      </c>
      <c r="J239" s="216">
        <f t="shared" ca="1" si="84"/>
        <v>62856.639291942876</v>
      </c>
      <c r="K239" s="216">
        <f t="shared" ca="1" si="85"/>
        <v>13891317.283519326</v>
      </c>
      <c r="M239" s="217">
        <f t="shared" si="95"/>
        <v>79.333333333332575</v>
      </c>
      <c r="N239" s="217">
        <f t="shared" ca="1" si="86"/>
        <v>0</v>
      </c>
      <c r="O239" s="216">
        <f t="shared" ca="1" si="87"/>
        <v>76363.675936010943</v>
      </c>
      <c r="P239" s="216">
        <f t="shared" ca="1" si="88"/>
        <v>16702079.03292251</v>
      </c>
      <c r="R239" s="217">
        <f t="shared" si="96"/>
        <v>79.333333333332575</v>
      </c>
      <c r="S239" s="240">
        <f t="shared" ca="1" si="89"/>
        <v>62856.639291942876</v>
      </c>
      <c r="T239" s="240">
        <f t="shared" ca="1" si="90"/>
        <v>13891317.283519326</v>
      </c>
      <c r="V239" s="217">
        <f t="shared" si="97"/>
        <v>79.333333333332575</v>
      </c>
      <c r="W239" s="217">
        <f t="shared" ca="1" si="91"/>
        <v>0</v>
      </c>
      <c r="X239" s="240">
        <f t="shared" ca="1" si="92"/>
        <v>76363.675936010943</v>
      </c>
      <c r="Y239" s="240">
        <f t="shared" ca="1" si="93"/>
        <v>16675070.135987144</v>
      </c>
      <c r="AF239" s="210">
        <f>ROW()</f>
        <v>239</v>
      </c>
      <c r="AG239" s="217">
        <f t="shared" si="98"/>
        <v>79.333333333332575</v>
      </c>
      <c r="AH239" s="217">
        <f t="shared" ca="1" si="79"/>
        <v>0</v>
      </c>
      <c r="AI239" s="217">
        <f ca="1">IF(AH238&lt;&gt;0,FINANCIAMIENTO!$F$5,0)</f>
        <v>0</v>
      </c>
      <c r="AJ239" s="240" t="b">
        <f t="shared" ca="1" si="99"/>
        <v>0</v>
      </c>
      <c r="AK239" s="240">
        <f t="shared" ca="1" si="80"/>
        <v>0</v>
      </c>
      <c r="AL239" s="240">
        <f t="shared" ca="1" si="81"/>
        <v>76363.675936010943</v>
      </c>
      <c r="AM239" s="240">
        <f t="shared" ca="1" si="82"/>
        <v>76363.675936010943</v>
      </c>
      <c r="AN239" s="240">
        <f t="shared" ca="1" si="83"/>
        <v>16185437.595045391</v>
      </c>
    </row>
    <row r="240" spans="9:40">
      <c r="I240" s="217">
        <f t="shared" si="94"/>
        <v>79.416666666665904</v>
      </c>
      <c r="J240" s="216">
        <f t="shared" ca="1" si="84"/>
        <v>62856.639291942876</v>
      </c>
      <c r="K240" s="216">
        <f t="shared" ca="1" si="85"/>
        <v>13954173.922811268</v>
      </c>
      <c r="M240" s="217">
        <f t="shared" si="95"/>
        <v>79.416666666665904</v>
      </c>
      <c r="N240" s="217">
        <f t="shared" ca="1" si="86"/>
        <v>0</v>
      </c>
      <c r="O240" s="216">
        <f t="shared" ca="1" si="87"/>
        <v>76363.675936010943</v>
      </c>
      <c r="P240" s="216">
        <f t="shared" ca="1" si="88"/>
        <v>16778442.70885852</v>
      </c>
      <c r="R240" s="217">
        <f t="shared" si="96"/>
        <v>79.416666666665904</v>
      </c>
      <c r="S240" s="240">
        <f t="shared" ca="1" si="89"/>
        <v>62856.639291942876</v>
      </c>
      <c r="T240" s="240">
        <f t="shared" ca="1" si="90"/>
        <v>13954173.922811268</v>
      </c>
      <c r="V240" s="217">
        <f t="shared" si="97"/>
        <v>79.416666666665904</v>
      </c>
      <c r="W240" s="217">
        <f t="shared" ca="1" si="91"/>
        <v>0</v>
      </c>
      <c r="X240" s="240">
        <f t="shared" ca="1" si="92"/>
        <v>76363.675936010943</v>
      </c>
      <c r="Y240" s="240">
        <f t="shared" ca="1" si="93"/>
        <v>16751433.811923156</v>
      </c>
      <c r="AF240" s="210">
        <f>ROW()</f>
        <v>240</v>
      </c>
      <c r="AG240" s="217">
        <f t="shared" si="98"/>
        <v>79.416666666665904</v>
      </c>
      <c r="AH240" s="217">
        <f t="shared" ca="1" si="79"/>
        <v>0</v>
      </c>
      <c r="AI240" s="217">
        <f ca="1">IF(AH239&lt;&gt;0,FINANCIAMIENTO!$F$5,0)</f>
        <v>0</v>
      </c>
      <c r="AJ240" s="240" t="b">
        <f t="shared" ca="1" si="99"/>
        <v>0</v>
      </c>
      <c r="AK240" s="240">
        <f t="shared" ca="1" si="80"/>
        <v>0</v>
      </c>
      <c r="AL240" s="240">
        <f t="shared" ca="1" si="81"/>
        <v>76363.675936010943</v>
      </c>
      <c r="AM240" s="240">
        <f t="shared" ca="1" si="82"/>
        <v>76363.675936010943</v>
      </c>
      <c r="AN240" s="240">
        <f t="shared" ca="1" si="83"/>
        <v>16261801.270981403</v>
      </c>
    </row>
    <row r="241" spans="9:40">
      <c r="I241" s="217">
        <f t="shared" si="94"/>
        <v>79.499999999999233</v>
      </c>
      <c r="J241" s="216">
        <f t="shared" ca="1" si="84"/>
        <v>62856.639291942876</v>
      </c>
      <c r="K241" s="216">
        <f t="shared" ca="1" si="85"/>
        <v>14017030.56210321</v>
      </c>
      <c r="M241" s="217">
        <f t="shared" si="95"/>
        <v>79.499999999999233</v>
      </c>
      <c r="N241" s="217">
        <f t="shared" ca="1" si="86"/>
        <v>0</v>
      </c>
      <c r="O241" s="216">
        <f t="shared" ca="1" si="87"/>
        <v>76363.675936010943</v>
      </c>
      <c r="P241" s="216">
        <f t="shared" ca="1" si="88"/>
        <v>16854806.38479453</v>
      </c>
      <c r="R241" s="217">
        <f t="shared" si="96"/>
        <v>79.499999999999233</v>
      </c>
      <c r="S241" s="240">
        <f t="shared" ca="1" si="89"/>
        <v>62856.639291942876</v>
      </c>
      <c r="T241" s="240">
        <f t="shared" ca="1" si="90"/>
        <v>14017030.56210321</v>
      </c>
      <c r="V241" s="217">
        <f t="shared" si="97"/>
        <v>79.499999999999233</v>
      </c>
      <c r="W241" s="217">
        <f t="shared" ca="1" si="91"/>
        <v>0</v>
      </c>
      <c r="X241" s="240">
        <f t="shared" ca="1" si="92"/>
        <v>76363.675936010943</v>
      </c>
      <c r="Y241" s="240">
        <f t="shared" ca="1" si="93"/>
        <v>16827797.487859167</v>
      </c>
      <c r="AF241" s="210">
        <f>ROW()</f>
        <v>241</v>
      </c>
      <c r="AG241" s="217">
        <f t="shared" si="98"/>
        <v>79.499999999999233</v>
      </c>
      <c r="AH241" s="217">
        <f t="shared" ca="1" si="79"/>
        <v>0</v>
      </c>
      <c r="AI241" s="217">
        <f ca="1">IF(AH240&lt;&gt;0,FINANCIAMIENTO!$F$5,0)</f>
        <v>0</v>
      </c>
      <c r="AJ241" s="240" t="b">
        <f t="shared" ca="1" si="99"/>
        <v>0</v>
      </c>
      <c r="AK241" s="240">
        <f t="shared" ca="1" si="80"/>
        <v>0</v>
      </c>
      <c r="AL241" s="240">
        <f t="shared" ca="1" si="81"/>
        <v>76363.675936010943</v>
      </c>
      <c r="AM241" s="240">
        <f t="shared" ca="1" si="82"/>
        <v>76363.675936010943</v>
      </c>
      <c r="AN241" s="240">
        <f t="shared" ca="1" si="83"/>
        <v>16338164.946917415</v>
      </c>
    </row>
    <row r="242" spans="9:40">
      <c r="I242" s="217">
        <f t="shared" si="94"/>
        <v>79.583333333332561</v>
      </c>
      <c r="J242" s="216">
        <f t="shared" ca="1" si="84"/>
        <v>62856.639291942876</v>
      </c>
      <c r="K242" s="216">
        <f t="shared" ca="1" si="85"/>
        <v>14079887.201395152</v>
      </c>
      <c r="M242" s="217">
        <f t="shared" si="95"/>
        <v>79.583333333332561</v>
      </c>
      <c r="N242" s="217">
        <f t="shared" ca="1" si="86"/>
        <v>0</v>
      </c>
      <c r="O242" s="216">
        <f t="shared" ca="1" si="87"/>
        <v>76363.675936010943</v>
      </c>
      <c r="P242" s="216">
        <f t="shared" ca="1" si="88"/>
        <v>16931170.060730539</v>
      </c>
      <c r="R242" s="217">
        <f t="shared" si="96"/>
        <v>79.583333333332561</v>
      </c>
      <c r="S242" s="240">
        <f t="shared" ca="1" si="89"/>
        <v>62856.639291942876</v>
      </c>
      <c r="T242" s="240">
        <f t="shared" ca="1" si="90"/>
        <v>14079887.201395152</v>
      </c>
      <c r="V242" s="217">
        <f t="shared" si="97"/>
        <v>79.583333333332561</v>
      </c>
      <c r="W242" s="217">
        <f t="shared" ca="1" si="91"/>
        <v>0</v>
      </c>
      <c r="X242" s="240">
        <f t="shared" ca="1" si="92"/>
        <v>76363.675936010943</v>
      </c>
      <c r="Y242" s="240">
        <f t="shared" ca="1" si="93"/>
        <v>16904161.163795177</v>
      </c>
      <c r="AF242" s="210">
        <f>ROW()</f>
        <v>242</v>
      </c>
      <c r="AG242" s="217">
        <f t="shared" si="98"/>
        <v>79.583333333332561</v>
      </c>
      <c r="AH242" s="217">
        <f t="shared" ca="1" si="79"/>
        <v>0</v>
      </c>
      <c r="AI242" s="217">
        <f ca="1">IF(AH241&lt;&gt;0,FINANCIAMIENTO!$F$5,0)</f>
        <v>0</v>
      </c>
      <c r="AJ242" s="240" t="b">
        <f t="shared" ca="1" si="99"/>
        <v>0</v>
      </c>
      <c r="AK242" s="240">
        <f t="shared" ca="1" si="80"/>
        <v>0</v>
      </c>
      <c r="AL242" s="240">
        <f t="shared" ca="1" si="81"/>
        <v>76363.675936010943</v>
      </c>
      <c r="AM242" s="240">
        <f t="shared" ca="1" si="82"/>
        <v>76363.675936010943</v>
      </c>
      <c r="AN242" s="240">
        <f t="shared" ca="1" si="83"/>
        <v>16414528.622853426</v>
      </c>
    </row>
    <row r="243" spans="9:40">
      <c r="I243" s="217">
        <f t="shared" si="94"/>
        <v>79.66666666666589</v>
      </c>
      <c r="J243" s="216">
        <f t="shared" ca="1" si="84"/>
        <v>62856.639291942876</v>
      </c>
      <c r="K243" s="216">
        <f t="shared" ca="1" si="85"/>
        <v>14142743.840687094</v>
      </c>
      <c r="M243" s="217">
        <f t="shared" si="95"/>
        <v>79.66666666666589</v>
      </c>
      <c r="N243" s="217">
        <f t="shared" ca="1" si="86"/>
        <v>0</v>
      </c>
      <c r="O243" s="216">
        <f t="shared" ca="1" si="87"/>
        <v>76363.675936010943</v>
      </c>
      <c r="P243" s="216">
        <f t="shared" ca="1" si="88"/>
        <v>17007533.736666549</v>
      </c>
      <c r="R243" s="217">
        <f t="shared" si="96"/>
        <v>79.66666666666589</v>
      </c>
      <c r="S243" s="240">
        <f t="shared" ca="1" si="89"/>
        <v>62856.639291942876</v>
      </c>
      <c r="T243" s="240">
        <f t="shared" ca="1" si="90"/>
        <v>14142743.840687094</v>
      </c>
      <c r="V243" s="217">
        <f t="shared" si="97"/>
        <v>79.66666666666589</v>
      </c>
      <c r="W243" s="217">
        <f t="shared" ca="1" si="91"/>
        <v>0</v>
      </c>
      <c r="X243" s="240">
        <f t="shared" ca="1" si="92"/>
        <v>76363.675936010943</v>
      </c>
      <c r="Y243" s="240">
        <f t="shared" ca="1" si="93"/>
        <v>16980524.839731187</v>
      </c>
      <c r="AF243" s="210">
        <f>ROW()</f>
        <v>243</v>
      </c>
      <c r="AG243" s="217">
        <f t="shared" si="98"/>
        <v>79.66666666666589</v>
      </c>
      <c r="AH243" s="217">
        <f t="shared" ca="1" si="79"/>
        <v>0</v>
      </c>
      <c r="AI243" s="217">
        <f ca="1">IF(AH242&lt;&gt;0,FINANCIAMIENTO!$F$5,0)</f>
        <v>0</v>
      </c>
      <c r="AJ243" s="240" t="b">
        <f t="shared" ca="1" si="99"/>
        <v>0</v>
      </c>
      <c r="AK243" s="240">
        <f t="shared" ca="1" si="80"/>
        <v>0</v>
      </c>
      <c r="AL243" s="240">
        <f t="shared" ca="1" si="81"/>
        <v>76363.675936010943</v>
      </c>
      <c r="AM243" s="240">
        <f t="shared" ca="1" si="82"/>
        <v>76363.675936010943</v>
      </c>
      <c r="AN243" s="240">
        <f t="shared" ca="1" si="83"/>
        <v>16490892.298789438</v>
      </c>
    </row>
    <row r="244" spans="9:40">
      <c r="I244" s="217">
        <f t="shared" si="94"/>
        <v>79.749999999999218</v>
      </c>
      <c r="J244" s="216">
        <f t="shared" ca="1" si="84"/>
        <v>62856.639291942876</v>
      </c>
      <c r="K244" s="216">
        <f t="shared" ca="1" si="85"/>
        <v>14205600.479979036</v>
      </c>
      <c r="M244" s="217">
        <f t="shared" si="95"/>
        <v>79.749999999999218</v>
      </c>
      <c r="N244" s="217">
        <f t="shared" ca="1" si="86"/>
        <v>0</v>
      </c>
      <c r="O244" s="216">
        <f t="shared" ca="1" si="87"/>
        <v>76363.675936010943</v>
      </c>
      <c r="P244" s="216">
        <f t="shared" ca="1" si="88"/>
        <v>17083897.412602559</v>
      </c>
      <c r="R244" s="217">
        <f t="shared" si="96"/>
        <v>79.749999999999218</v>
      </c>
      <c r="S244" s="240">
        <f t="shared" ca="1" si="89"/>
        <v>62856.639291942876</v>
      </c>
      <c r="T244" s="240">
        <f t="shared" ca="1" si="90"/>
        <v>14205600.479979036</v>
      </c>
      <c r="V244" s="217">
        <f t="shared" si="97"/>
        <v>79.749999999999218</v>
      </c>
      <c r="W244" s="217">
        <f t="shared" ca="1" si="91"/>
        <v>0</v>
      </c>
      <c r="X244" s="240">
        <f t="shared" ca="1" si="92"/>
        <v>76363.675936010943</v>
      </c>
      <c r="Y244" s="240">
        <f t="shared" ca="1" si="93"/>
        <v>17056888.515667196</v>
      </c>
      <c r="AF244" s="210">
        <f>ROW()</f>
        <v>244</v>
      </c>
      <c r="AG244" s="217">
        <f t="shared" si="98"/>
        <v>79.749999999999218</v>
      </c>
      <c r="AH244" s="217">
        <f t="shared" ca="1" si="79"/>
        <v>0</v>
      </c>
      <c r="AI244" s="217">
        <f ca="1">IF(AH243&lt;&gt;0,FINANCIAMIENTO!$F$5,0)</f>
        <v>0</v>
      </c>
      <c r="AJ244" s="240" t="b">
        <f t="shared" ca="1" si="99"/>
        <v>0</v>
      </c>
      <c r="AK244" s="240">
        <f t="shared" ca="1" si="80"/>
        <v>0</v>
      </c>
      <c r="AL244" s="240">
        <f t="shared" ca="1" si="81"/>
        <v>76363.675936010943</v>
      </c>
      <c r="AM244" s="240">
        <f t="shared" ca="1" si="82"/>
        <v>76363.675936010943</v>
      </c>
      <c r="AN244" s="240">
        <f t="shared" ca="1" si="83"/>
        <v>16567255.974725449</v>
      </c>
    </row>
    <row r="245" spans="9:40">
      <c r="I245" s="217">
        <f t="shared" si="94"/>
        <v>79.833333333332547</v>
      </c>
      <c r="J245" s="216">
        <f t="shared" ca="1" si="84"/>
        <v>62856.639291942876</v>
      </c>
      <c r="K245" s="216">
        <f t="shared" ca="1" si="85"/>
        <v>14268457.119270978</v>
      </c>
      <c r="M245" s="217">
        <f t="shared" si="95"/>
        <v>79.833333333332547</v>
      </c>
      <c r="N245" s="217">
        <f t="shared" ca="1" si="86"/>
        <v>0</v>
      </c>
      <c r="O245" s="216">
        <f t="shared" ca="1" si="87"/>
        <v>76363.675936010943</v>
      </c>
      <c r="P245" s="216">
        <f t="shared" ca="1" si="88"/>
        <v>17160261.088538568</v>
      </c>
      <c r="R245" s="217">
        <f t="shared" si="96"/>
        <v>79.833333333332547</v>
      </c>
      <c r="S245" s="240">
        <f t="shared" ca="1" si="89"/>
        <v>62856.639291942876</v>
      </c>
      <c r="T245" s="240">
        <f t="shared" ca="1" si="90"/>
        <v>14268457.119270978</v>
      </c>
      <c r="V245" s="217">
        <f t="shared" si="97"/>
        <v>79.833333333332547</v>
      </c>
      <c r="W245" s="217">
        <f t="shared" ca="1" si="91"/>
        <v>0</v>
      </c>
      <c r="X245" s="240">
        <f t="shared" ca="1" si="92"/>
        <v>76363.675936010943</v>
      </c>
      <c r="Y245" s="240">
        <f t="shared" ca="1" si="93"/>
        <v>17133252.191603206</v>
      </c>
      <c r="AF245" s="210">
        <f>ROW()</f>
        <v>245</v>
      </c>
      <c r="AG245" s="217">
        <f t="shared" si="98"/>
        <v>79.833333333332547</v>
      </c>
      <c r="AH245" s="217">
        <f t="shared" ca="1" si="79"/>
        <v>0</v>
      </c>
      <c r="AI245" s="217">
        <f ca="1">IF(AH244&lt;&gt;0,FINANCIAMIENTO!$F$5,0)</f>
        <v>0</v>
      </c>
      <c r="AJ245" s="240" t="b">
        <f t="shared" ca="1" si="99"/>
        <v>0</v>
      </c>
      <c r="AK245" s="240">
        <f t="shared" ca="1" si="80"/>
        <v>0</v>
      </c>
      <c r="AL245" s="240">
        <f t="shared" ca="1" si="81"/>
        <v>76363.675936010943</v>
      </c>
      <c r="AM245" s="240">
        <f t="shared" ca="1" si="82"/>
        <v>76363.675936010943</v>
      </c>
      <c r="AN245" s="240">
        <f t="shared" ca="1" si="83"/>
        <v>16643619.650661461</v>
      </c>
    </row>
    <row r="246" spans="9:40">
      <c r="I246" s="217">
        <f t="shared" si="94"/>
        <v>79.916666666665876</v>
      </c>
      <c r="J246" s="216">
        <f t="shared" ca="1" si="84"/>
        <v>62856.639291942876</v>
      </c>
      <c r="K246" s="216">
        <f t="shared" ca="1" si="85"/>
        <v>14331313.758562921</v>
      </c>
      <c r="M246" s="217">
        <f t="shared" si="95"/>
        <v>79.916666666665876</v>
      </c>
      <c r="N246" s="217">
        <f t="shared" ca="1" si="86"/>
        <v>0</v>
      </c>
      <c r="O246" s="216">
        <f t="shared" ca="1" si="87"/>
        <v>76363.675936010943</v>
      </c>
      <c r="P246" s="216">
        <f t="shared" ca="1" si="88"/>
        <v>17236624.764474578</v>
      </c>
      <c r="R246" s="217">
        <f t="shared" si="96"/>
        <v>79.916666666665876</v>
      </c>
      <c r="S246" s="240">
        <f t="shared" ca="1" si="89"/>
        <v>62856.639291942876</v>
      </c>
      <c r="T246" s="240">
        <f t="shared" ca="1" si="90"/>
        <v>14331313.758562921</v>
      </c>
      <c r="V246" s="217">
        <f t="shared" si="97"/>
        <v>79.916666666665876</v>
      </c>
      <c r="W246" s="217">
        <f t="shared" ca="1" si="91"/>
        <v>0</v>
      </c>
      <c r="X246" s="240">
        <f t="shared" ca="1" si="92"/>
        <v>76363.675936010943</v>
      </c>
      <c r="Y246" s="240">
        <f t="shared" ca="1" si="93"/>
        <v>17209615.867539216</v>
      </c>
      <c r="AF246" s="210">
        <f>ROW()</f>
        <v>246</v>
      </c>
      <c r="AG246" s="217">
        <f t="shared" si="98"/>
        <v>79.916666666665876</v>
      </c>
      <c r="AH246" s="217">
        <f t="shared" ca="1" si="79"/>
        <v>0</v>
      </c>
      <c r="AI246" s="217">
        <f ca="1">IF(AH245&lt;&gt;0,FINANCIAMIENTO!$F$5,0)</f>
        <v>0</v>
      </c>
      <c r="AJ246" s="240" t="b">
        <f t="shared" ca="1" si="99"/>
        <v>0</v>
      </c>
      <c r="AK246" s="240">
        <f t="shared" ca="1" si="80"/>
        <v>0</v>
      </c>
      <c r="AL246" s="240">
        <f t="shared" ca="1" si="81"/>
        <v>76363.675936010943</v>
      </c>
      <c r="AM246" s="240">
        <f t="shared" ca="1" si="82"/>
        <v>76363.675936010943</v>
      </c>
      <c r="AN246" s="240">
        <f t="shared" ca="1" si="83"/>
        <v>16719983.326597473</v>
      </c>
    </row>
    <row r="247" spans="9:40">
      <c r="I247" s="217">
        <f t="shared" si="94"/>
        <v>79.999999999999204</v>
      </c>
      <c r="J247" s="216">
        <f t="shared" ca="1" si="84"/>
        <v>62856.639291942876</v>
      </c>
      <c r="K247" s="216">
        <f t="shared" ca="1" si="85"/>
        <v>14394170.397854863</v>
      </c>
      <c r="M247" s="217">
        <f t="shared" si="95"/>
        <v>79.999999999999204</v>
      </c>
      <c r="N247" s="217"/>
      <c r="O247" s="216">
        <f t="shared" ca="1" si="87"/>
        <v>76363.675936010943</v>
      </c>
      <c r="P247" s="216">
        <f t="shared" ca="1" si="88"/>
        <v>17312988.440410588</v>
      </c>
      <c r="R247" s="217">
        <f t="shared" si="96"/>
        <v>79.999999999999204</v>
      </c>
      <c r="S247" s="240">
        <f t="shared" ca="1" si="89"/>
        <v>62856.639291942876</v>
      </c>
      <c r="T247" s="240">
        <f t="shared" ca="1" si="90"/>
        <v>14394170.397854863</v>
      </c>
      <c r="V247" s="217">
        <f t="shared" si="97"/>
        <v>79.999999999999204</v>
      </c>
      <c r="W247" s="217"/>
      <c r="X247" s="240">
        <f t="shared" ca="1" si="92"/>
        <v>76363.675936010943</v>
      </c>
      <c r="Y247" s="240">
        <f t="shared" ca="1" si="93"/>
        <v>17285979.543475226</v>
      </c>
      <c r="AF247" s="210">
        <f>ROW()</f>
        <v>247</v>
      </c>
      <c r="AG247" s="217">
        <f t="shared" si="98"/>
        <v>79.999999999999204</v>
      </c>
      <c r="AH247" s="217">
        <f t="shared" ca="1" si="79"/>
        <v>0</v>
      </c>
      <c r="AI247" s="217">
        <f ca="1">IF(AH246&lt;&gt;0,FINANCIAMIENTO!$F$5,0)</f>
        <v>0</v>
      </c>
      <c r="AJ247" s="240" t="b">
        <f t="shared" ca="1" si="99"/>
        <v>0</v>
      </c>
      <c r="AK247" s="240">
        <f t="shared" ca="1" si="80"/>
        <v>0</v>
      </c>
      <c r="AL247" s="240">
        <f t="shared" ca="1" si="81"/>
        <v>76363.675936010943</v>
      </c>
      <c r="AM247" s="240">
        <f t="shared" ca="1" si="82"/>
        <v>76363.675936010943</v>
      </c>
      <c r="AN247" s="240">
        <f t="shared" ca="1" si="83"/>
        <v>16796347.002533484</v>
      </c>
    </row>
    <row r="248" spans="9:40">
      <c r="I248" s="217"/>
      <c r="M248" s="217"/>
      <c r="N248" s="217"/>
    </row>
    <row r="249" spans="9:40">
      <c r="I249" s="217"/>
      <c r="M249" s="217"/>
      <c r="N249" s="217"/>
    </row>
    <row r="250" spans="9:40">
      <c r="I250" s="217"/>
      <c r="M250" s="217"/>
      <c r="N250" s="217"/>
    </row>
    <row r="251" spans="9:40">
      <c r="I251" s="217"/>
      <c r="M251" s="217"/>
      <c r="N251" s="217"/>
    </row>
    <row r="252" spans="9:40">
      <c r="I252" s="217"/>
      <c r="M252" s="217"/>
      <c r="N252" s="217"/>
    </row>
    <row r="253" spans="9:40">
      <c r="I253" s="217"/>
      <c r="M253" s="217"/>
      <c r="N253" s="217"/>
    </row>
    <row r="254" spans="9:40">
      <c r="I254" s="217"/>
      <c r="M254" s="217"/>
      <c r="N254" s="217"/>
    </row>
    <row r="255" spans="9:40">
      <c r="I255" s="217"/>
      <c r="M255" s="217"/>
      <c r="N255" s="217"/>
    </row>
    <row r="256" spans="9:40">
      <c r="I256" s="217"/>
      <c r="M256" s="217"/>
      <c r="N256" s="217"/>
    </row>
    <row r="257" spans="9:14">
      <c r="I257" s="217"/>
      <c r="M257" s="217"/>
      <c r="N257" s="217"/>
    </row>
    <row r="258" spans="9:14">
      <c r="I258" s="217"/>
      <c r="M258" s="217"/>
      <c r="N258" s="217"/>
    </row>
    <row r="259" spans="9:14">
      <c r="I259" s="217"/>
      <c r="M259" s="217"/>
      <c r="N259" s="217"/>
    </row>
    <row r="260" spans="9:14">
      <c r="I260" s="217"/>
      <c r="M260" s="217"/>
      <c r="N260" s="217"/>
    </row>
    <row r="261" spans="9:14">
      <c r="I261" s="217"/>
      <c r="M261" s="217"/>
      <c r="N261" s="217"/>
    </row>
    <row r="262" spans="9:14">
      <c r="I262" s="217"/>
      <c r="M262" s="217"/>
      <c r="N262" s="217"/>
    </row>
    <row r="263" spans="9:14">
      <c r="I263" s="217"/>
      <c r="M263" s="217"/>
      <c r="N263" s="217"/>
    </row>
    <row r="264" spans="9:14">
      <c r="I264" s="217"/>
      <c r="M264" s="217"/>
      <c r="N264" s="217"/>
    </row>
    <row r="265" spans="9:14">
      <c r="I265" s="217"/>
      <c r="M265" s="217"/>
      <c r="N265" s="217"/>
    </row>
    <row r="266" spans="9:14">
      <c r="I266" s="217"/>
      <c r="M266" s="217"/>
      <c r="N266" s="217"/>
    </row>
    <row r="267" spans="9:14">
      <c r="I267" s="217"/>
      <c r="M267" s="217"/>
      <c r="N267" s="217"/>
    </row>
    <row r="268" spans="9:14">
      <c r="I268" s="217"/>
      <c r="M268" s="217"/>
      <c r="N268" s="217"/>
    </row>
    <row r="269" spans="9:14">
      <c r="I269" s="217"/>
      <c r="M269" s="217"/>
      <c r="N269" s="217"/>
    </row>
    <row r="270" spans="9:14">
      <c r="I270" s="217"/>
      <c r="M270" s="217"/>
      <c r="N270" s="217"/>
    </row>
    <row r="271" spans="9:14">
      <c r="I271" s="217"/>
      <c r="M271" s="217"/>
      <c r="N271" s="217"/>
    </row>
    <row r="272" spans="9:14">
      <c r="I272" s="217"/>
      <c r="M272" s="217"/>
      <c r="N272" s="217"/>
    </row>
    <row r="273" spans="9:14">
      <c r="I273" s="217"/>
      <c r="M273" s="217"/>
      <c r="N273" s="217"/>
    </row>
    <row r="274" spans="9:14">
      <c r="I274" s="217"/>
      <c r="M274" s="217"/>
      <c r="N274" s="217"/>
    </row>
    <row r="275" spans="9:14">
      <c r="I275" s="217"/>
      <c r="M275" s="217"/>
      <c r="N275" s="217"/>
    </row>
    <row r="276" spans="9:14">
      <c r="I276" s="217"/>
      <c r="M276" s="217"/>
      <c r="N276" s="217"/>
    </row>
    <row r="277" spans="9:14">
      <c r="I277" s="217"/>
      <c r="M277" s="217"/>
      <c r="N277" s="217"/>
    </row>
    <row r="278" spans="9:14">
      <c r="I278" s="217"/>
      <c r="M278" s="217"/>
      <c r="N278" s="217"/>
    </row>
    <row r="279" spans="9:14">
      <c r="I279" s="217"/>
      <c r="M279" s="217"/>
      <c r="N279" s="217"/>
    </row>
    <row r="280" spans="9:14">
      <c r="I280" s="217"/>
      <c r="M280" s="217"/>
      <c r="N280" s="217"/>
    </row>
    <row r="281" spans="9:14">
      <c r="I281" s="217"/>
      <c r="M281" s="217"/>
      <c r="N281" s="217"/>
    </row>
    <row r="282" spans="9:14">
      <c r="I282" s="217"/>
      <c r="M282" s="217"/>
      <c r="N282" s="217"/>
    </row>
    <row r="283" spans="9:14">
      <c r="I283" s="217"/>
      <c r="M283" s="217"/>
      <c r="N283" s="217"/>
    </row>
    <row r="284" spans="9:14">
      <c r="I284" s="217"/>
      <c r="M284" s="217"/>
      <c r="N284" s="217"/>
    </row>
    <row r="285" spans="9:14">
      <c r="I285" s="217"/>
      <c r="M285" s="217"/>
      <c r="N285" s="217"/>
    </row>
    <row r="286" spans="9:14">
      <c r="I286" s="217"/>
      <c r="M286" s="217"/>
      <c r="N286" s="217"/>
    </row>
    <row r="287" spans="9:14">
      <c r="I287" s="217"/>
      <c r="M287" s="217"/>
      <c r="N287" s="217"/>
    </row>
    <row r="288" spans="9:14">
      <c r="I288" s="217"/>
      <c r="M288" s="217"/>
      <c r="N288" s="217"/>
    </row>
    <row r="289" spans="9:14">
      <c r="I289" s="217"/>
      <c r="M289" s="217"/>
      <c r="N289" s="217"/>
    </row>
    <row r="290" spans="9:14">
      <c r="I290" s="217"/>
      <c r="M290" s="217"/>
      <c r="N290" s="217"/>
    </row>
    <row r="291" spans="9:14">
      <c r="I291" s="217"/>
      <c r="M291" s="217"/>
      <c r="N291" s="217"/>
    </row>
    <row r="292" spans="9:14">
      <c r="I292" s="217"/>
      <c r="M292" s="217"/>
      <c r="N292" s="217"/>
    </row>
    <row r="293" spans="9:14">
      <c r="I293" s="217"/>
      <c r="M293" s="217"/>
      <c r="N293" s="217"/>
    </row>
    <row r="294" spans="9:14">
      <c r="I294" s="217"/>
      <c r="M294" s="217"/>
      <c r="N294" s="217"/>
    </row>
    <row r="295" spans="9:14">
      <c r="I295" s="217"/>
      <c r="M295" s="217"/>
      <c r="N295" s="217"/>
    </row>
    <row r="296" spans="9:14">
      <c r="I296" s="217"/>
      <c r="M296" s="217"/>
      <c r="N296" s="217"/>
    </row>
    <row r="297" spans="9:14">
      <c r="I297" s="217"/>
      <c r="M297" s="217"/>
      <c r="N297" s="217"/>
    </row>
    <row r="298" spans="9:14">
      <c r="I298" s="217"/>
      <c r="M298" s="217"/>
      <c r="N298" s="217"/>
    </row>
    <row r="299" spans="9:14">
      <c r="I299" s="217"/>
      <c r="M299" s="217"/>
      <c r="N299" s="217"/>
    </row>
    <row r="300" spans="9:14">
      <c r="I300" s="217"/>
      <c r="M300" s="217"/>
      <c r="N300" s="217"/>
    </row>
    <row r="301" spans="9:14">
      <c r="I301" s="217"/>
      <c r="M301" s="217"/>
      <c r="N301" s="217"/>
    </row>
    <row r="302" spans="9:14">
      <c r="I302" s="217"/>
      <c r="M302" s="217"/>
      <c r="N302" s="217"/>
    </row>
    <row r="303" spans="9:14">
      <c r="I303" s="217"/>
      <c r="M303" s="217"/>
      <c r="N303" s="217"/>
    </row>
    <row r="304" spans="9:14">
      <c r="I304" s="217"/>
      <c r="M304" s="217"/>
      <c r="N304" s="217"/>
    </row>
    <row r="305" spans="9:14">
      <c r="I305" s="217"/>
      <c r="M305" s="217"/>
      <c r="N305" s="217"/>
    </row>
    <row r="306" spans="9:14">
      <c r="I306" s="217"/>
      <c r="M306" s="217"/>
      <c r="N306" s="217"/>
    </row>
    <row r="307" spans="9:14">
      <c r="I307" s="217"/>
      <c r="M307" s="217"/>
      <c r="N307" s="217"/>
    </row>
    <row r="308" spans="9:14">
      <c r="I308" s="217"/>
      <c r="M308" s="217"/>
      <c r="N308" s="217"/>
    </row>
    <row r="309" spans="9:14">
      <c r="I309" s="217"/>
      <c r="M309" s="217"/>
      <c r="N309" s="217"/>
    </row>
    <row r="310" spans="9:14">
      <c r="I310" s="217"/>
      <c r="M310" s="217"/>
      <c r="N310" s="217"/>
    </row>
    <row r="311" spans="9:14">
      <c r="I311" s="217"/>
      <c r="M311" s="217"/>
      <c r="N311" s="217"/>
    </row>
    <row r="312" spans="9:14">
      <c r="I312" s="217"/>
      <c r="M312" s="217"/>
      <c r="N312" s="217"/>
    </row>
    <row r="313" spans="9:14">
      <c r="I313" s="217"/>
      <c r="M313" s="217"/>
      <c r="N313" s="217"/>
    </row>
    <row r="314" spans="9:14">
      <c r="I314" s="217"/>
      <c r="M314" s="217"/>
      <c r="N314" s="217"/>
    </row>
    <row r="315" spans="9:14">
      <c r="I315" s="217"/>
      <c r="M315" s="217"/>
      <c r="N315" s="217"/>
    </row>
    <row r="316" spans="9:14">
      <c r="I316" s="217"/>
      <c r="M316" s="217"/>
      <c r="N316" s="217"/>
    </row>
    <row r="317" spans="9:14">
      <c r="I317" s="217"/>
      <c r="M317" s="217"/>
      <c r="N317" s="217"/>
    </row>
    <row r="318" spans="9:14">
      <c r="I318" s="217"/>
      <c r="M318" s="217"/>
      <c r="N318" s="217"/>
    </row>
    <row r="319" spans="9:14">
      <c r="I319" s="217"/>
      <c r="M319" s="217"/>
      <c r="N319" s="217"/>
    </row>
    <row r="320" spans="9:14">
      <c r="I320" s="217"/>
      <c r="M320" s="217"/>
      <c r="N320" s="217"/>
    </row>
    <row r="321" spans="9:14">
      <c r="I321" s="217"/>
      <c r="M321" s="217"/>
      <c r="N321" s="217"/>
    </row>
    <row r="322" spans="9:14">
      <c r="I322" s="217"/>
      <c r="M322" s="217"/>
      <c r="N322" s="217"/>
    </row>
    <row r="323" spans="9:14">
      <c r="I323" s="217"/>
      <c r="M323" s="217"/>
      <c r="N323" s="217"/>
    </row>
    <row r="324" spans="9:14">
      <c r="I324" s="217"/>
      <c r="M324" s="217"/>
      <c r="N324" s="217"/>
    </row>
    <row r="325" spans="9:14">
      <c r="I325" s="217"/>
      <c r="M325" s="217"/>
      <c r="N325" s="217"/>
    </row>
    <row r="326" spans="9:14">
      <c r="I326" s="217"/>
      <c r="M326" s="217"/>
      <c r="N326" s="217"/>
    </row>
    <row r="327" spans="9:14">
      <c r="I327" s="217"/>
      <c r="M327" s="217"/>
      <c r="N327" s="217"/>
    </row>
    <row r="328" spans="9:14">
      <c r="I328" s="217"/>
      <c r="M328" s="217"/>
      <c r="N328" s="217"/>
    </row>
    <row r="329" spans="9:14">
      <c r="I329" s="217"/>
      <c r="M329" s="217"/>
      <c r="N329" s="217"/>
    </row>
    <row r="330" spans="9:14">
      <c r="I330" s="217"/>
      <c r="M330" s="217"/>
      <c r="N330" s="217"/>
    </row>
    <row r="331" spans="9:14">
      <c r="I331" s="217"/>
      <c r="M331" s="217"/>
      <c r="N331" s="217"/>
    </row>
    <row r="332" spans="9:14">
      <c r="I332" s="217"/>
      <c r="M332" s="217"/>
      <c r="N332" s="217"/>
    </row>
    <row r="333" spans="9:14">
      <c r="I333" s="217"/>
      <c r="M333" s="217"/>
      <c r="N333" s="217"/>
    </row>
    <row r="334" spans="9:14">
      <c r="I334" s="217"/>
      <c r="M334" s="217"/>
      <c r="N334" s="217"/>
    </row>
    <row r="335" spans="9:14">
      <c r="I335" s="217"/>
      <c r="M335" s="217"/>
      <c r="N335" s="217"/>
    </row>
    <row r="336" spans="9:14">
      <c r="I336" s="217"/>
      <c r="M336" s="217"/>
      <c r="N336" s="217"/>
    </row>
    <row r="337" spans="9:14">
      <c r="I337" s="217"/>
      <c r="M337" s="217"/>
      <c r="N337" s="217"/>
    </row>
    <row r="338" spans="9:14">
      <c r="I338" s="217"/>
      <c r="M338" s="217"/>
      <c r="N338" s="217"/>
    </row>
    <row r="339" spans="9:14">
      <c r="I339" s="217"/>
      <c r="M339" s="217"/>
      <c r="N339" s="217"/>
    </row>
    <row r="340" spans="9:14">
      <c r="I340" s="217"/>
      <c r="M340" s="217"/>
      <c r="N340" s="217"/>
    </row>
    <row r="341" spans="9:14">
      <c r="I341" s="217"/>
      <c r="M341" s="217"/>
      <c r="N341" s="217"/>
    </row>
    <row r="342" spans="9:14">
      <c r="I342" s="217"/>
      <c r="M342" s="217"/>
      <c r="N342" s="217"/>
    </row>
    <row r="343" spans="9:14">
      <c r="I343" s="217"/>
      <c r="M343" s="217"/>
      <c r="N343" s="217"/>
    </row>
    <row r="344" spans="9:14">
      <c r="I344" s="217"/>
      <c r="M344" s="217"/>
      <c r="N344" s="217"/>
    </row>
    <row r="345" spans="9:14">
      <c r="I345" s="217"/>
      <c r="M345" s="217"/>
      <c r="N345" s="217"/>
    </row>
    <row r="346" spans="9:14">
      <c r="I346" s="217"/>
      <c r="M346" s="217"/>
      <c r="N346" s="217"/>
    </row>
    <row r="347" spans="9:14">
      <c r="I347" s="217"/>
      <c r="M347" s="217"/>
      <c r="N347" s="217"/>
    </row>
    <row r="348" spans="9:14">
      <c r="I348" s="217"/>
      <c r="M348" s="217"/>
      <c r="N348" s="217"/>
    </row>
    <row r="349" spans="9:14">
      <c r="I349" s="217"/>
      <c r="M349" s="217"/>
      <c r="N349" s="217"/>
    </row>
    <row r="350" spans="9:14">
      <c r="I350" s="217"/>
      <c r="M350" s="217"/>
      <c r="N350" s="217"/>
    </row>
    <row r="351" spans="9:14">
      <c r="I351" s="217"/>
      <c r="M351" s="217"/>
      <c r="N351" s="217"/>
    </row>
    <row r="352" spans="9:14">
      <c r="I352" s="217"/>
      <c r="M352" s="217"/>
      <c r="N352" s="217"/>
    </row>
    <row r="353" spans="9:14">
      <c r="I353" s="217"/>
      <c r="M353" s="217"/>
      <c r="N353" s="217"/>
    </row>
    <row r="354" spans="9:14">
      <c r="I354" s="217"/>
      <c r="M354" s="217"/>
      <c r="N354" s="217"/>
    </row>
    <row r="355" spans="9:14">
      <c r="I355" s="217"/>
      <c r="M355" s="217"/>
      <c r="N355" s="217"/>
    </row>
    <row r="356" spans="9:14">
      <c r="I356" s="217"/>
      <c r="M356" s="217"/>
      <c r="N356" s="217"/>
    </row>
    <row r="357" spans="9:14">
      <c r="I357" s="217"/>
      <c r="M357" s="217"/>
      <c r="N357" s="217"/>
    </row>
    <row r="358" spans="9:14">
      <c r="I358" s="217"/>
      <c r="M358" s="217"/>
      <c r="N358" s="217"/>
    </row>
    <row r="359" spans="9:14">
      <c r="I359" s="217"/>
      <c r="M359" s="217"/>
      <c r="N359" s="217"/>
    </row>
    <row r="360" spans="9:14">
      <c r="I360" s="217"/>
      <c r="M360" s="217"/>
      <c r="N360" s="217"/>
    </row>
    <row r="361" spans="9:14">
      <c r="I361" s="217"/>
      <c r="M361" s="217"/>
      <c r="N361" s="217"/>
    </row>
    <row r="362" spans="9:14">
      <c r="I362" s="217"/>
      <c r="M362" s="217"/>
      <c r="N362" s="217"/>
    </row>
    <row r="363" spans="9:14">
      <c r="I363" s="217"/>
      <c r="M363" s="217"/>
      <c r="N363" s="217"/>
    </row>
    <row r="364" spans="9:14">
      <c r="I364" s="217"/>
      <c r="M364" s="217"/>
      <c r="N364" s="217"/>
    </row>
    <row r="365" spans="9:14">
      <c r="I365" s="217"/>
      <c r="M365" s="217"/>
      <c r="N365" s="217"/>
    </row>
    <row r="366" spans="9:14">
      <c r="I366" s="217"/>
      <c r="M366" s="217"/>
      <c r="N366" s="217"/>
    </row>
    <row r="367" spans="9:14">
      <c r="I367" s="217"/>
      <c r="M367" s="217"/>
      <c r="N367" s="217"/>
    </row>
    <row r="368" spans="9:14">
      <c r="I368" s="217"/>
      <c r="M368" s="217"/>
      <c r="N368" s="217"/>
    </row>
    <row r="369" spans="9:14">
      <c r="I369" s="217"/>
      <c r="M369" s="217"/>
      <c r="N369" s="217"/>
    </row>
    <row r="370" spans="9:14">
      <c r="I370" s="217"/>
      <c r="M370" s="217"/>
      <c r="N370" s="217"/>
    </row>
    <row r="371" spans="9:14">
      <c r="I371" s="217"/>
      <c r="M371" s="217"/>
      <c r="N371" s="217"/>
    </row>
    <row r="372" spans="9:14">
      <c r="I372" s="217"/>
      <c r="M372" s="217"/>
      <c r="N372" s="217"/>
    </row>
    <row r="373" spans="9:14">
      <c r="I373" s="217"/>
      <c r="M373" s="217"/>
      <c r="N373" s="217"/>
    </row>
    <row r="374" spans="9:14">
      <c r="I374" s="217"/>
      <c r="M374" s="217"/>
      <c r="N374" s="217"/>
    </row>
    <row r="375" spans="9:14">
      <c r="I375" s="217"/>
      <c r="M375" s="217"/>
      <c r="N375" s="217"/>
    </row>
    <row r="376" spans="9:14">
      <c r="I376" s="217"/>
      <c r="M376" s="217"/>
      <c r="N376" s="217"/>
    </row>
    <row r="377" spans="9:14">
      <c r="I377" s="217"/>
      <c r="M377" s="217"/>
      <c r="N377" s="217"/>
    </row>
    <row r="378" spans="9:14">
      <c r="I378" s="217"/>
      <c r="M378" s="217"/>
      <c r="N378" s="217"/>
    </row>
    <row r="379" spans="9:14">
      <c r="I379" s="217"/>
      <c r="M379" s="217"/>
      <c r="N379" s="217"/>
    </row>
    <row r="380" spans="9:14">
      <c r="I380" s="217"/>
      <c r="M380" s="217"/>
      <c r="N380" s="217"/>
    </row>
    <row r="381" spans="9:14">
      <c r="I381" s="217"/>
      <c r="M381" s="217"/>
      <c r="N381" s="217"/>
    </row>
    <row r="382" spans="9:14">
      <c r="I382" s="217"/>
      <c r="M382" s="217"/>
      <c r="N382" s="217"/>
    </row>
    <row r="383" spans="9:14">
      <c r="I383" s="217"/>
      <c r="M383" s="217"/>
      <c r="N383" s="217"/>
    </row>
    <row r="384" spans="9:14">
      <c r="I384" s="217"/>
      <c r="M384" s="217"/>
      <c r="N384" s="217"/>
    </row>
    <row r="385" spans="9:14">
      <c r="I385" s="217"/>
      <c r="M385" s="217"/>
      <c r="N385" s="217"/>
    </row>
    <row r="386" spans="9:14">
      <c r="I386" s="217"/>
      <c r="M386" s="217"/>
      <c r="N386" s="217"/>
    </row>
    <row r="387" spans="9:14">
      <c r="I387" s="217"/>
      <c r="M387" s="217"/>
      <c r="N387" s="217"/>
    </row>
    <row r="388" spans="9:14">
      <c r="I388" s="217"/>
      <c r="M388" s="217"/>
      <c r="N388" s="217"/>
    </row>
    <row r="389" spans="9:14">
      <c r="I389" s="217"/>
      <c r="M389" s="217"/>
      <c r="N389" s="217"/>
    </row>
    <row r="390" spans="9:14">
      <c r="I390" s="217"/>
      <c r="M390" s="217"/>
      <c r="N390" s="217"/>
    </row>
    <row r="391" spans="9:14">
      <c r="I391" s="217"/>
      <c r="M391" s="217"/>
      <c r="N391" s="217"/>
    </row>
    <row r="392" spans="9:14">
      <c r="I392" s="217"/>
      <c r="M392" s="217"/>
      <c r="N392" s="217"/>
    </row>
    <row r="393" spans="9:14">
      <c r="I393" s="217"/>
      <c r="M393" s="217"/>
      <c r="N393" s="217"/>
    </row>
    <row r="394" spans="9:14">
      <c r="I394" s="217"/>
      <c r="M394" s="217"/>
      <c r="N394" s="217"/>
    </row>
    <row r="395" spans="9:14">
      <c r="I395" s="217"/>
      <c r="M395" s="217"/>
      <c r="N395" s="217"/>
    </row>
    <row r="396" spans="9:14">
      <c r="I396" s="217"/>
      <c r="M396" s="217"/>
      <c r="N396" s="217"/>
    </row>
    <row r="397" spans="9:14">
      <c r="I397" s="217"/>
      <c r="M397" s="217"/>
      <c r="N397" s="217"/>
    </row>
    <row r="398" spans="9:14">
      <c r="I398" s="217"/>
      <c r="M398" s="217"/>
      <c r="N398" s="217"/>
    </row>
    <row r="399" spans="9:14">
      <c r="I399" s="217"/>
      <c r="M399" s="217"/>
      <c r="N399" s="217"/>
    </row>
    <row r="400" spans="9:14">
      <c r="I400" s="217"/>
      <c r="M400" s="217"/>
      <c r="N400" s="217"/>
    </row>
    <row r="401" spans="9:14">
      <c r="I401" s="217"/>
      <c r="M401" s="217"/>
      <c r="N401" s="217"/>
    </row>
    <row r="402" spans="9:14">
      <c r="I402" s="217"/>
      <c r="M402" s="217"/>
      <c r="N402" s="217"/>
    </row>
    <row r="403" spans="9:14">
      <c r="I403" s="217"/>
      <c r="M403" s="217"/>
      <c r="N403" s="217"/>
    </row>
    <row r="404" spans="9:14">
      <c r="I404" s="217"/>
      <c r="M404" s="217"/>
      <c r="N404" s="217"/>
    </row>
    <row r="405" spans="9:14">
      <c r="I405" s="217"/>
      <c r="M405" s="217"/>
      <c r="N405" s="217"/>
    </row>
    <row r="406" spans="9:14">
      <c r="I406" s="217"/>
      <c r="M406" s="217"/>
      <c r="N406" s="217"/>
    </row>
    <row r="407" spans="9:14">
      <c r="I407" s="217"/>
      <c r="M407" s="217"/>
      <c r="N407" s="217"/>
    </row>
    <row r="408" spans="9:14">
      <c r="I408" s="217"/>
      <c r="M408" s="217"/>
      <c r="N408" s="217"/>
    </row>
    <row r="409" spans="9:14">
      <c r="I409" s="217"/>
      <c r="M409" s="217"/>
      <c r="N409" s="217"/>
    </row>
    <row r="410" spans="9:14">
      <c r="I410" s="217"/>
      <c r="M410" s="217"/>
      <c r="N410" s="217"/>
    </row>
    <row r="411" spans="9:14">
      <c r="I411" s="217"/>
      <c r="M411" s="217"/>
      <c r="N411" s="217"/>
    </row>
    <row r="412" spans="9:14">
      <c r="I412" s="217"/>
      <c r="M412" s="217"/>
      <c r="N412" s="217"/>
    </row>
    <row r="413" spans="9:14">
      <c r="I413" s="217"/>
      <c r="M413" s="217"/>
      <c r="N413" s="217"/>
    </row>
    <row r="414" spans="9:14">
      <c r="I414" s="217"/>
      <c r="M414" s="217"/>
      <c r="N414" s="217"/>
    </row>
    <row r="415" spans="9:14">
      <c r="I415" s="217"/>
      <c r="M415" s="217"/>
      <c r="N415" s="217"/>
    </row>
    <row r="416" spans="9:14">
      <c r="I416" s="217"/>
      <c r="M416" s="217"/>
      <c r="N416" s="217"/>
    </row>
    <row r="417" spans="9:14">
      <c r="I417" s="217"/>
      <c r="M417" s="217"/>
      <c r="N417" s="217"/>
    </row>
    <row r="418" spans="9:14">
      <c r="I418" s="217"/>
      <c r="M418" s="217"/>
      <c r="N418" s="217"/>
    </row>
  </sheetData>
  <mergeCells count="6">
    <mergeCell ref="AG1:AN1"/>
    <mergeCell ref="I1:K1"/>
    <mergeCell ref="M1:P1"/>
    <mergeCell ref="R1:T1"/>
    <mergeCell ref="V1:Y1"/>
    <mergeCell ref="AA1:A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9</vt:i4>
      </vt:variant>
    </vt:vector>
  </HeadingPairs>
  <TitlesOfParts>
    <vt:vector size="32" baseType="lpstr">
      <vt:lpstr>README</vt:lpstr>
      <vt:lpstr>CARATULA</vt:lpstr>
      <vt:lpstr>CAL. PROM. 250 SEM</vt:lpstr>
      <vt:lpstr>1</vt:lpstr>
      <vt:lpstr>DATOS GEN.</vt:lpstr>
      <vt:lpstr>FACT. + ASIG.</vt:lpstr>
      <vt:lpstr>PENSIÓN ACTUAL</vt:lpstr>
      <vt:lpstr>SAL. PROM MOD 40</vt:lpstr>
      <vt:lpstr>DATOS GEN. MOD 40</vt:lpstr>
      <vt:lpstr>FACT. + ASIG. MOD.40</vt:lpstr>
      <vt:lpstr>PENSION MOD. 40</vt:lpstr>
      <vt:lpstr>COSTO MOD. 40</vt:lpstr>
      <vt:lpstr>INVERSION</vt:lpstr>
      <vt:lpstr>INCREMENTO PEN</vt:lpstr>
      <vt:lpstr>PAGO RETROACTIVO</vt:lpstr>
      <vt:lpstr>MOD 40 REC. VS RETRO.</vt:lpstr>
      <vt:lpstr>FINANCIAMIENTO</vt:lpstr>
      <vt:lpstr>SEGUNDO FONDEADOR</vt:lpstr>
      <vt:lpstr>PENSIÓN SIN-CON FIN.</vt:lpstr>
      <vt:lpstr>Datos-proyecto</vt:lpstr>
      <vt:lpstr>2</vt:lpstr>
      <vt:lpstr>PROYECTO DE PENSIÓN</vt:lpstr>
      <vt:lpstr>Sheet1</vt:lpstr>
      <vt:lpstr>'CAL. PROM. 250 SEM'!Área_de_impresión</vt:lpstr>
      <vt:lpstr>CARATULA!Área_de_impresión</vt:lpstr>
      <vt:lpstr>'COSTO MOD. 40'!Área_de_impresión</vt:lpstr>
      <vt:lpstr>'DATOS GEN.'!Área_de_impresión</vt:lpstr>
      <vt:lpstr>'DATOS GEN. MOD 40'!Área_de_impresión</vt:lpstr>
      <vt:lpstr>'INCREMENTO PEN'!Área_de_impresión</vt:lpstr>
      <vt:lpstr>'PENSIÓN ACTUAL'!Área_de_impresión</vt:lpstr>
      <vt:lpstr>README!Área_de_impresión</vt:lpstr>
      <vt:lpstr>README!Version</vt:lpstr>
    </vt:vector>
  </TitlesOfParts>
  <Manager>RGH</Manager>
  <Company>RGH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LEY73</dc:title>
  <dc:subject>SS</dc:subject>
  <dc:creator>RGH</dc:creator>
  <cp:lastModifiedBy>Luis Adan Escobar Lopez</cp:lastModifiedBy>
  <cp:lastPrinted>2025-12-08T20:49:49Z</cp:lastPrinted>
  <dcterms:created xsi:type="dcterms:W3CDTF">2014-01-24T17:26:07Z</dcterms:created>
  <dcterms:modified xsi:type="dcterms:W3CDTF">2026-08-05T04:11:01Z</dcterms:modified>
</cp:coreProperties>
</file>